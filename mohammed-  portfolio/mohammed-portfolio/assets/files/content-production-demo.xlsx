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بدأ من هنا" sheetId="1" state="visible" r:id="rId3"/>
    <sheet name="لوحة التحكم" sheetId="2" state="visible" r:id="rId4"/>
    <sheet name="المهام" sheetId="3" state="visible" r:id="rId5"/>
    <sheet name="إدارة المحررين" sheetId="4" state="visible" r:id="rId6"/>
    <sheet name="إحصائيات المحررين" sheetId="5" state="visible" r:id="rId7"/>
    <sheet name="المقاطع المعتمدة" sheetId="6" state="visible" r:id="rId8"/>
    <sheet name="_بيانات" sheetId="7" state="hidden" r:id="rId9"/>
  </sheets>
  <definedNames>
    <definedName function="false" hidden="true" localSheetId="5" name="_xlnm._FilterDatabase" vbProcedure="false">'المقاطع المعتمدة'!$A$3:$G$29</definedName>
    <definedName function="false" hidden="true" localSheetId="2" name="_xlnm._FilterDatabase" vbProcedure="false">المهام!$A$3:$H$47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<sst xmlns="http://schemas.openxmlformats.org/spreadsheetml/2006/main" count="481" uniqueCount="158">
  <si>
    <t xml:space="preserve">🎬  نظام إدارة مشاريع إنتاج المحتوى الإسلامي</t>
  </si>
  <si>
    <t xml:space="preserve">⚠️  تنبيه: جميع البيانات في هذا الملف وهمية (Demo Data) وُضعت لغرض العرض التوضيحي فقط</t>
  </si>
  <si>
    <t xml:space="preserve">📌  عن المشروع</t>
  </si>
  <si>
    <t xml:space="preserve">منصة لإدارة إنتاج ومونتاج مقاطع الفيديو الإسلامية وترجمتها إلى 51 لغة. يتابع الملف دورة حياة كل مقطع من الرفع حتى الاعتماد، ويوزّع المهام على المحررين بحدّ أقصى 3 مشاريع نشطة لكل محرر، مع احتساب الحالة والإحصائيات تلقائياً.</t>
  </si>
  <si>
    <t xml:space="preserve">🗂️  دليل الصفحات</t>
  </si>
  <si>
    <t xml:space="preserve">الصفحة</t>
  </si>
  <si>
    <t xml:space="preserve">الوصف</t>
  </si>
  <si>
    <t xml:space="preserve">📊 لوحة التحكم</t>
  </si>
  <si>
    <t xml:space="preserve">مؤشرات المشروع لحظياً: الإجمالي، المعتمد، قيد العمل، نسبة الإنجاز</t>
  </si>
  <si>
    <t xml:space="preserve">📋 المهام</t>
  </si>
  <si>
    <t xml:space="preserve">السجل الرئيسي لكل مقطع ولغته ومحرره وحالته — مع فلتر بحث جاهز</t>
  </si>
  <si>
    <t xml:space="preserve">👥 إدارة المحررين</t>
  </si>
  <si>
    <t xml:space="preserve">الحمل النشط وحالة كل محرر (🟢 متاح / 🔴 مشغول) بالمعادلات</t>
  </si>
  <si>
    <t xml:space="preserve">📈 إحصائيات المحررين</t>
  </si>
  <si>
    <t xml:space="preserve">عدد مشاريع كل محرر ونسبة إنجازه ورسم بياني مقارن</t>
  </si>
  <si>
    <t xml:space="preserve">✅ المقاطع المعتمدة</t>
  </si>
  <si>
    <t xml:space="preserve">أرشيف المقاطع المنتهية مع مدة تنفيذ كل مقطع</t>
  </si>
  <si>
    <t xml:space="preserve">⚙️  القاعدة الأساسية</t>
  </si>
  <si>
    <t xml:space="preserve">أي مهمة حالتها ليست «معتمد نهائياً» تُحتسب مهمة نشطة تستهلك مقعداً من المحرر. عند بلوغ 3 مهام نشطة تتحوّل حالته تلقائياً إلى 🔴 مشغول فلا يُكلَّف بمقطع جديد.</t>
  </si>
  <si>
    <t xml:space="preserve">🔍  كيف تبحث داخل جدول المهام</t>
  </si>
  <si>
    <t xml:space="preserve">•  اضغط على سهم الفلتر في رأس عمود «اللغة» واختر اللغة المطلوبة.</t>
  </si>
  <si>
    <t xml:space="preserve">•  يمكن الفلترة بأكثر من عمود معاً: اللغة + الحالة + المحرر.</t>
  </si>
  <si>
    <t xml:space="preserve">•  لإلغاء الفلترة: البيانات ← مسح عوامل التصفية.</t>
  </si>
  <si>
    <t xml:space="preserve">📊  لوحة التحكم</t>
  </si>
  <si>
    <t xml:space="preserve">📁  المهام</t>
  </si>
  <si>
    <t xml:space="preserve">👥  المحررون</t>
  </si>
  <si>
    <t xml:space="preserve">إجمالي المقاطع</t>
  </si>
  <si>
    <t xml:space="preserve">إجمالي المحررين</t>
  </si>
  <si>
    <t xml:space="preserve">المهام النشطة</t>
  </si>
  <si>
    <t xml:space="preserve">🟢 متاحون</t>
  </si>
  <si>
    <t xml:space="preserve">نسبة الإنجاز</t>
  </si>
  <si>
    <t xml:space="preserve">🔴 مشغولون</t>
  </si>
  <si>
    <t xml:space="preserve">لغات مغطّاة</t>
  </si>
  <si>
    <t xml:space="preserve">مقاعد شاغرة</t>
  </si>
  <si>
    <t xml:space="preserve">🚦  توزيع المهام على الحالات</t>
  </si>
  <si>
    <t xml:space="preserve">الحالة</t>
  </si>
  <si>
    <t xml:space="preserve">العدد</t>
  </si>
  <si>
    <t xml:space="preserve">النسبة من الإجمالي</t>
  </si>
  <si>
    <t xml:space="preserve">قيد التكليف</t>
  </si>
  <si>
    <t xml:space="preserve">قيد التحرير</t>
  </si>
  <si>
    <t xml:space="preserve">بانتظار التقييم</t>
  </si>
  <si>
    <t xml:space="preserve">مطلوب تعديل</t>
  </si>
  <si>
    <t xml:space="preserve">معتمد نهائياً</t>
  </si>
  <si>
    <t xml:space="preserve">📋  سجل المهام — كل مقطع ولغته ومحرره وحالته</t>
  </si>
  <si>
    <t xml:space="preserve">اسم المقطع</t>
  </si>
  <si>
    <t xml:space="preserve">اللغة</t>
  </si>
  <si>
    <t xml:space="preserve">المحرر</t>
  </si>
  <si>
    <t xml:space="preserve">المقيّم اللغوي</t>
  </si>
  <si>
    <t xml:space="preserve">تاريخ التكليف</t>
  </si>
  <si>
    <t xml:space="preserve">آخر تحديث</t>
  </si>
  <si>
    <t xml:space="preserve">ملاحظات</t>
  </si>
  <si>
    <t xml:space="preserve">آداب المسجد</t>
  </si>
  <si>
    <t xml:space="preserve">مقدوني</t>
  </si>
  <si>
    <t xml:space="preserve">خالد الشهري</t>
  </si>
  <si>
    <t xml:space="preserve">أولوية عالية</t>
  </si>
  <si>
    <t xml:space="preserve">فارسي</t>
  </si>
  <si>
    <t xml:space="preserve">د. ليلى الرشيد</t>
  </si>
  <si>
    <t xml:space="preserve">تعديل توقيت الترجمة</t>
  </si>
  <si>
    <t xml:space="preserve">كوري</t>
  </si>
  <si>
    <t xml:space="preserve">هند الغامدي</t>
  </si>
  <si>
    <t xml:space="preserve">أذكار الصباح والمساء</t>
  </si>
  <si>
    <t xml:space="preserve">أوزبكي</t>
  </si>
  <si>
    <t xml:space="preserve">فاطمة العتيبي</t>
  </si>
  <si>
    <t xml:space="preserve">د. محمد السالم</t>
  </si>
  <si>
    <t xml:space="preserve">بانتظار ملف الصوت</t>
  </si>
  <si>
    <t xml:space="preserve">أركان الإسلام</t>
  </si>
  <si>
    <t xml:space="preserve">تاميلي</t>
  </si>
  <si>
    <t xml:space="preserve">مريم الدوسري</t>
  </si>
  <si>
    <t xml:space="preserve">أركان الإيمان</t>
  </si>
  <si>
    <t xml:space="preserve">بشتو</t>
  </si>
  <si>
    <t xml:space="preserve">أحمد الزهراني</t>
  </si>
  <si>
    <t xml:space="preserve">روسي</t>
  </si>
  <si>
    <t xml:space="preserve">مراجعة النطق</t>
  </si>
  <si>
    <t xml:space="preserve">بر الوالدين</t>
  </si>
  <si>
    <t xml:space="preserve">قرغيزي</t>
  </si>
  <si>
    <t xml:space="preserve">هولندي</t>
  </si>
  <si>
    <t xml:space="preserve">نورة القحطاني</t>
  </si>
  <si>
    <t xml:space="preserve">د. سارة الأنصاري</t>
  </si>
  <si>
    <t xml:space="preserve">صفة التيمم</t>
  </si>
  <si>
    <t xml:space="preserve">مليالم</t>
  </si>
  <si>
    <t xml:space="preserve">صفة الحج</t>
  </si>
  <si>
    <t xml:space="preserve">برتغالي</t>
  </si>
  <si>
    <t xml:space="preserve">د. طارق المنصور</t>
  </si>
  <si>
    <t xml:space="preserve">لوغندي</t>
  </si>
  <si>
    <t xml:space="preserve">بانتظار تعيين محرر</t>
  </si>
  <si>
    <t xml:space="preserve">صفة العمرة</t>
  </si>
  <si>
    <t xml:space="preserve">إعادة ضبط الصوت</t>
  </si>
  <si>
    <t xml:space="preserve">إنجليزي</t>
  </si>
  <si>
    <t xml:space="preserve">سلطان المالكي</t>
  </si>
  <si>
    <t xml:space="preserve">صفة الوضوء</t>
  </si>
  <si>
    <t xml:space="preserve">ديفهي</t>
  </si>
  <si>
    <t xml:space="preserve">تحسين التوقيت</t>
  </si>
  <si>
    <t xml:space="preserve">كنادي</t>
  </si>
  <si>
    <t xml:space="preserve">فضل الصدقة</t>
  </si>
  <si>
    <t xml:space="preserve">تركي</t>
  </si>
  <si>
    <t xml:space="preserve">تايلندي</t>
  </si>
  <si>
    <t xml:space="preserve">كريولي</t>
  </si>
  <si>
    <t xml:space="preserve">عبدالله الحربي</t>
  </si>
  <si>
    <t xml:space="preserve">يوسف البقمي</t>
  </si>
  <si>
    <t xml:space="preserve">بنغالي</t>
  </si>
  <si>
    <t xml:space="preserve">لاو</t>
  </si>
  <si>
    <t xml:space="preserve">مندنكا</t>
  </si>
  <si>
    <t xml:space="preserve">أورومي</t>
  </si>
  <si>
    <t xml:space="preserve">صربي</t>
  </si>
  <si>
    <t xml:space="preserve">د. عمر الجابر</t>
  </si>
  <si>
    <t xml:space="preserve">صفة الصلاة</t>
  </si>
  <si>
    <t xml:space="preserve">غوجراتي</t>
  </si>
  <si>
    <t xml:space="preserve">هندي</t>
  </si>
  <si>
    <t xml:space="preserve">أردو</t>
  </si>
  <si>
    <t xml:space="preserve">تلقو</t>
  </si>
  <si>
    <t xml:space="preserve">هوسا</t>
  </si>
  <si>
    <t xml:space="preserve">صفة الغسل</t>
  </si>
  <si>
    <t xml:space="preserve">أذري</t>
  </si>
  <si>
    <t xml:space="preserve">الماني</t>
  </si>
  <si>
    <t xml:space="preserve">إسباني</t>
  </si>
  <si>
    <t xml:space="preserve">جورجي</t>
  </si>
  <si>
    <t xml:space="preserve">👥  إدارة المحررين — الحمل النشط والحالة تلقائياً</t>
  </si>
  <si>
    <t xml:space="preserve">اسم المحرر</t>
  </si>
  <si>
    <t xml:space="preserve">الحد الأقصى</t>
  </si>
  <si>
    <t xml:space="preserve">المقاعد المتاحة</t>
  </si>
  <si>
    <t xml:space="preserve">🧮  المعادلتان المستخدمتان</t>
  </si>
  <si>
    <t xml:space="preserve">COUNTIFS(المهام!C:C ; الاسم ; المهام!E:E ; "&lt;&gt;معتمد نهائياً" ; المهام!E:E ; "&lt;&gt;")</t>
  </si>
  <si>
    <t xml:space="preserve">حالة المحرر</t>
  </si>
  <si>
    <t xml:space="preserve">IF(المهام النشطة &gt;= الحد الأقصى ; "🔴 مشغول" ; "🟢 متاح")</t>
  </si>
  <si>
    <t xml:space="preserve">📈  إحصائيات المحررين — عدد المشاريع ونسبة الإنجاز</t>
  </si>
  <si>
    <t xml:space="preserve">إجمالي المشاريع</t>
  </si>
  <si>
    <t xml:space="preserve">معتمدة</t>
  </si>
  <si>
    <t xml:space="preserve">✅  أرشيف المقاطع المعتمدة نهائياً</t>
  </si>
  <si>
    <t xml:space="preserve">تاريخ الاعتماد</t>
  </si>
  <si>
    <t xml:space="preserve">مدة التنفيذ (يوم)</t>
  </si>
  <si>
    <t xml:space="preserve">متوسط مدة التنفيذ (يوم)</t>
  </si>
  <si>
    <t xml:space="preserve">اللغات</t>
  </si>
  <si>
    <t xml:space="preserve">الحالات</t>
  </si>
  <si>
    <t xml:space="preserve">المقيّمون</t>
  </si>
  <si>
    <t xml:space="preserve">عربي</t>
  </si>
  <si>
    <r>
      <rPr>
        <sz val="11"/>
        <color theme="1"/>
        <rFont val="FreeSans"/>
        <family val="2"/>
      </rPr>
      <t xml:space="preserve">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محمد السالم</t>
    </r>
  </si>
  <si>
    <r>
      <rPr>
        <sz val="11"/>
        <color theme="1"/>
        <rFont val="FreeSans"/>
        <family val="2"/>
      </rPr>
      <t xml:space="preserve">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سارة الأنصاري</t>
    </r>
  </si>
  <si>
    <r>
      <rPr>
        <sz val="11"/>
        <color theme="1"/>
        <rFont val="FreeSans"/>
        <family val="2"/>
      </rPr>
      <t xml:space="preserve">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عمر الجابر</t>
    </r>
  </si>
  <si>
    <t xml:space="preserve">فرنسي</t>
  </si>
  <si>
    <r>
      <rPr>
        <sz val="11"/>
        <color theme="1"/>
        <rFont val="FreeSans"/>
        <family val="2"/>
      </rPr>
      <t xml:space="preserve">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ليلى الرشيد</t>
    </r>
  </si>
  <si>
    <r>
      <rPr>
        <sz val="11"/>
        <color theme="1"/>
        <rFont val="FreeSans"/>
        <family val="2"/>
      </rPr>
      <t xml:space="preserve">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طارق المنصور</t>
    </r>
  </si>
  <si>
    <t xml:space="preserve">صيني</t>
  </si>
  <si>
    <t xml:space="preserve">سواحلي</t>
  </si>
  <si>
    <t xml:space="preserve">إندونيسي</t>
  </si>
  <si>
    <t xml:space="preserve">ألباني</t>
  </si>
  <si>
    <t xml:space="preserve">كازاخي</t>
  </si>
  <si>
    <t xml:space="preserve">أمهري</t>
  </si>
  <si>
    <t xml:space="preserve">ملايو</t>
  </si>
  <si>
    <t xml:space="preserve">مجري</t>
  </si>
  <si>
    <t xml:space="preserve">طاجيكي</t>
  </si>
  <si>
    <t xml:space="preserve">أوكراني</t>
  </si>
  <si>
    <t xml:space="preserve">تجريني</t>
  </si>
  <si>
    <t xml:space="preserve">سنهالي</t>
  </si>
  <si>
    <t xml:space="preserve">فلبيني</t>
  </si>
  <si>
    <t xml:space="preserve">تشيكي</t>
  </si>
  <si>
    <t xml:space="preserve">نيبالي</t>
  </si>
  <si>
    <t xml:space="preserve">إيطالي</t>
  </si>
  <si>
    <t xml:space="preserve">جولا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</si>
</sst>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0.0%"/>
    <numFmt numFmtId="168" formatCode="yyyy/mm/dd"/>
  </numFmts>
  <fonts count="4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9"/>
      <color rgb="FF92400E"/>
      <name val="Arial"/>
      <family val="0"/>
      <charset val="1"/>
    </font>
    <font>
      <b val="true"/>
      <sz val="11"/>
      <color rgb="FF1E3A5F"/>
      <name val="Arial"/>
      <family val="0"/>
      <charset val="1"/>
    </font>
    <font>
      <sz val="10"/>
      <color rgb="FF3341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sz val="9"/>
      <color rgb="FF334155"/>
      <name val="Arial"/>
      <family val="0"/>
      <charset val="1"/>
    </font>
    <font>
      <sz val="10"/>
      <color rgb="FF1E3A5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4"/>
      <color rgb="FF1E3A5F"/>
      <name val="Arial"/>
      <family val="0"/>
      <charset val="1"/>
    </font>
    <font>
      <b val="true"/>
      <sz val="10"/>
      <color rgb="FF334155"/>
      <name val="Arial"/>
      <family val="0"/>
      <charset val="1"/>
    </font>
    <font>
      <b val="true"/>
      <sz val="14"/>
      <color rgb="FF334155"/>
      <name val="Arial"/>
      <family val="0"/>
      <charset val="1"/>
    </font>
    <font>
      <b val="true"/>
      <sz val="10"/>
      <color rgb="FF15803D"/>
      <name val="Arial"/>
      <family val="0"/>
      <charset val="1"/>
    </font>
    <font>
      <b val="true"/>
      <sz val="14"/>
      <color rgb="FF15803D"/>
      <name val="Arial"/>
      <family val="0"/>
      <charset val="1"/>
    </font>
    <font>
      <b val="true"/>
      <sz val="10"/>
      <color rgb="FF075985"/>
      <name val="Arial"/>
      <family val="0"/>
      <charset val="1"/>
    </font>
    <font>
      <b val="true"/>
      <sz val="14"/>
      <color rgb="FF075985"/>
      <name val="Arial"/>
      <family val="0"/>
      <charset val="1"/>
    </font>
    <font>
      <b val="true"/>
      <sz val="10"/>
      <color rgb="FFBE123C"/>
      <name val="Arial"/>
      <family val="0"/>
      <charset val="1"/>
    </font>
    <font>
      <b val="true"/>
      <sz val="14"/>
      <color rgb="FFBE123C"/>
      <name val="Arial"/>
      <family val="0"/>
      <charset val="1"/>
    </font>
    <font>
      <b val="true"/>
      <sz val="10"/>
      <color rgb="FF6D28D9"/>
      <name val="Arial"/>
      <family val="0"/>
      <charset val="1"/>
    </font>
    <font>
      <b val="true"/>
      <sz val="14"/>
      <color rgb="FF6D28D9"/>
      <name val="Arial"/>
      <family val="0"/>
      <charset val="1"/>
    </font>
    <font>
      <b val="true"/>
      <sz val="10"/>
      <color rgb="FF8A6400"/>
      <name val="Arial"/>
      <family val="0"/>
      <charset val="1"/>
    </font>
    <font>
      <b val="true"/>
      <sz val="12"/>
      <color rgb="FF8A6400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b val="true"/>
      <sz val="12"/>
      <color rgb="FF1D4ED8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2"/>
      <color rgb="FFB45309"/>
      <name val="Arial"/>
      <family val="0"/>
      <charset val="1"/>
    </font>
    <font>
      <b val="true"/>
      <sz val="12"/>
      <color rgb="FFBE123C"/>
      <name val="Arial"/>
      <family val="0"/>
      <charset val="1"/>
    </font>
    <font>
      <b val="true"/>
      <sz val="12"/>
      <color rgb="FF15803D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E3A5F"/>
      <name val="Arial"/>
      <family val="0"/>
      <charset val="1"/>
    </font>
    <font>
      <b val="true"/>
      <sz val="12"/>
      <color rgb="FF1E3A5F"/>
      <name val="Arial"/>
      <family val="0"/>
      <charset val="1"/>
    </font>
    <font>
      <sz val="11"/>
      <color rgb="FF1E3A5F"/>
      <name val="Arial"/>
      <family val="0"/>
      <charset val="1"/>
    </font>
    <font>
      <b val="true"/>
      <sz val="9"/>
      <color rgb="FF334155"/>
      <name val="Arial"/>
      <family val="0"/>
      <charset val="1"/>
    </font>
    <font>
      <sz val="9"/>
      <color rgb="FF6D28D9"/>
      <name val="Consolas"/>
      <family val="0"/>
      <charset val="1"/>
    </font>
    <font>
      <b val="true"/>
      <sz val="11"/>
      <color rgb="FF15803D"/>
      <name val="Arial"/>
      <family val="0"/>
      <charset val="1"/>
    </font>
    <font>
      <b val="true"/>
      <sz val="11"/>
      <color rgb="FF1D4ED8"/>
      <name val="Arial"/>
      <family val="0"/>
      <charset val="1"/>
    </font>
    <font>
      <b val="true"/>
      <sz val="11"/>
      <color rgb="FFB45309"/>
      <name val="Arial"/>
      <family val="0"/>
      <charset val="1"/>
    </font>
    <font>
      <b val="true"/>
      <sz val="11"/>
      <color rgb="FFBE123C"/>
      <name val="Arial"/>
      <family val="0"/>
      <charset val="1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  <font>
      <sz val="10"/>
      <color rgb="FF14532D"/>
      <name val="Arial"/>
      <family val="0"/>
      <charset val="1"/>
    </font>
    <font>
      <b val="true"/>
      <sz val="13"/>
      <color rgb="FF15803D"/>
      <name val="Arial"/>
      <family val="0"/>
      <charset val="1"/>
    </font>
    <font>
      <sz val="11"/>
      <color theme="1"/>
      <name val="FreeSans"/>
      <family val="2"/>
    </font>
  </fonts>
  <fills count="20">
    <fill>
      <patternFill patternType="none"/>
    </fill>
    <fill>
      <patternFill patternType="gray125"/>
    </fill>
    <fill>
      <patternFill patternType="solid">
        <fgColor rgb="FF132A4A"/>
        <bgColor rgb="FF1E293B"/>
      </patternFill>
    </fill>
    <fill>
      <patternFill patternType="solid">
        <fgColor rgb="FFFEF3C7"/>
        <bgColor rgb="FFFFF7DB"/>
      </patternFill>
    </fill>
    <fill>
      <patternFill patternType="solid">
        <fgColor rgb="FFEEF2FF"/>
        <bgColor rgb="FFF1F5F9"/>
      </patternFill>
    </fill>
    <fill>
      <patternFill patternType="solid">
        <fgColor rgb="FF1E3A5F"/>
        <bgColor rgb="FF334155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9F9F9"/>
      </patternFill>
    </fill>
    <fill>
      <patternFill patternType="solid">
        <fgColor rgb="FFF1F5F9"/>
        <bgColor rgb="FFF5F3FF"/>
      </patternFill>
    </fill>
    <fill>
      <patternFill patternType="solid">
        <fgColor rgb="FFDCFCE7"/>
        <bgColor rgb="FFE0F2FE"/>
      </patternFill>
    </fill>
    <fill>
      <patternFill patternType="solid">
        <fgColor rgb="FFE0F2FE"/>
        <bgColor rgb="FFE0EDFF"/>
      </patternFill>
    </fill>
    <fill>
      <patternFill patternType="solid">
        <fgColor rgb="FFFFE4E6"/>
        <bgColor rgb="FFFFEEDC"/>
      </patternFill>
    </fill>
    <fill>
      <patternFill patternType="solid">
        <fgColor rgb="FFF5F3FF"/>
        <bgColor rgb="FFFAF5FF"/>
      </patternFill>
    </fill>
    <fill>
      <patternFill patternType="solid">
        <fgColor rgb="FFFFF7DB"/>
        <bgColor rgb="FFFFEEDC"/>
      </patternFill>
    </fill>
    <fill>
      <patternFill patternType="solid">
        <fgColor rgb="FFE0EDFF"/>
        <bgColor rgb="FFE0F2FE"/>
      </patternFill>
    </fill>
    <fill>
      <patternFill patternType="solid">
        <fgColor rgb="FFFFEEDC"/>
        <bgColor rgb="FFFFF7DB"/>
      </patternFill>
    </fill>
    <fill>
      <patternFill patternType="solid">
        <fgColor rgb="FFFAF5FF"/>
        <bgColor rgb="FFF5F3FF"/>
      </patternFill>
    </fill>
    <fill>
      <patternFill patternType="solid">
        <fgColor rgb="FF15803D"/>
        <bgColor rgb="FF166534"/>
      </patternFill>
    </fill>
    <fill>
      <patternFill patternType="solid">
        <fgColor rgb="FF166534"/>
        <bgColor rgb="FF14532D"/>
      </patternFill>
    </fill>
    <fill>
      <patternFill patternType="solid">
        <fgColor rgb="FFF0FDF4"/>
        <bgColor rgb="FFF8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6" fillId="4" borderId="0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4" fontId="7" fillId="0" borderId="0" xfId="0" applyFont="true" applyBorder="true" applyAlignment="true" applyProtection="false">
      <alignment horizontal="right" vertical="top" textRotation="0" wrapText="true" indent="1" shrinkToFit="false" readingOrder="2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 readingOrder="2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9" fillId="6" borderId="1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4" fontId="10" fillId="6" borderId="1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4" fontId="9" fillId="7" borderId="1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4" fontId="10" fillId="7" borderId="1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4" fontId="11" fillId="8" borderId="0" xfId="0" applyFont="true" applyBorder="true" applyAlignment="true" applyProtection="false">
      <alignment horizontal="right" vertical="center" textRotation="0" wrapText="true" indent="1" shrinkToFit="false" readingOrder="2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9" fillId="4" borderId="0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5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5" fontId="1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5" fontId="1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0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6" fontId="1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0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5" fontId="21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0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5" fontId="23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13" borderId="0" xfId="0" applyFont="true" applyBorder="false" applyAlignment="true" applyProtection="false">
      <alignment horizontal="right" vertical="center" textRotation="0" wrapText="false" indent="1" shrinkToFit="false" readingOrder="2"/>
      <protection locked="true" hidden="false"/>
    </xf>
    <xf numFmtId="165" fontId="25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4" borderId="0" xfId="0" applyFont="true" applyBorder="false" applyAlignment="true" applyProtection="false">
      <alignment horizontal="right" vertical="center" textRotation="0" wrapText="false" indent="1" shrinkToFit="false" readingOrder="2"/>
      <protection locked="true" hidden="false"/>
    </xf>
    <xf numFmtId="165" fontId="27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6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5" borderId="0" xfId="0" applyFont="true" applyBorder="false" applyAlignment="true" applyProtection="false">
      <alignment horizontal="right" vertical="center" textRotation="0" wrapText="false" indent="1" shrinkToFit="false" readingOrder="2"/>
      <protection locked="true" hidden="false"/>
    </xf>
    <xf numFmtId="165" fontId="29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8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0" xfId="0" applyFont="true" applyBorder="false" applyAlignment="true" applyProtection="false">
      <alignment horizontal="right" vertical="center" textRotation="0" wrapText="false" indent="1" shrinkToFit="false" readingOrder="2"/>
      <protection locked="true" hidden="false"/>
    </xf>
    <xf numFmtId="165" fontId="3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0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right" vertical="center" textRotation="0" wrapText="false" indent="1" shrinkToFit="false" readingOrder="2"/>
      <protection locked="true" hidden="false"/>
    </xf>
    <xf numFmtId="165" fontId="3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3" fillId="0" borderId="1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35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6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37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8" fillId="0" borderId="0" xfId="0" applyFont="true" applyBorder="false" applyAlignment="true" applyProtection="false">
      <alignment horizontal="right" vertical="center" textRotation="0" wrapText="false" indent="1" shrinkToFit="false" readingOrder="2"/>
      <protection locked="true" hidden="false"/>
    </xf>
    <xf numFmtId="164" fontId="39" fillId="16" borderId="0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7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8" fillId="18" borderId="0" xfId="0" applyFont="true" applyBorder="false" applyAlignment="true" applyProtection="false">
      <alignment horizontal="center" vertical="center" textRotation="0" wrapText="true" indent="0" shrinkToFit="false" readingOrder="2"/>
      <protection locked="true" hidden="false"/>
    </xf>
    <xf numFmtId="164" fontId="46" fillId="6" borderId="1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4" fontId="46" fillId="6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4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19" borderId="1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4" fontId="46" fillId="19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46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E3A5F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0EDFF"/>
          <bgColor rgb="FF000000"/>
        </patternFill>
      </fill>
    </dxf>
    <dxf>
      <fill>
        <patternFill patternType="solid">
          <fgColor rgb="FFFFE4E6"/>
          <bgColor rgb="FF000000"/>
        </patternFill>
      </fill>
    </dxf>
    <dxf>
      <fill>
        <patternFill patternType="solid">
          <fgColor rgb="FFFFEEDC"/>
          <bgColor rgb="FF000000"/>
        </patternFill>
      </fill>
    </dxf>
    <dxf>
      <fill>
        <patternFill patternType="solid">
          <fgColor rgb="FFFFF7DB"/>
          <bgColor rgb="FF000000"/>
        </patternFill>
      </fill>
    </dxf>
    <dxf>
      <fill>
        <patternFill patternType="solid">
          <fgColor rgb="FF1E293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FFF7DB"/>
        </patternFill>
      </fill>
    </dxf>
    <dxf>
      <fill>
        <patternFill>
          <bgColor rgb="FFE0EDFF"/>
        </patternFill>
      </fill>
    </dxf>
    <dxf>
      <fill>
        <patternFill>
          <bgColor rgb="FFFFEEDC"/>
        </patternFill>
      </fill>
    </dxf>
    <dxf>
      <fill>
        <patternFill>
          <bgColor rgb="FFFFE4E6"/>
        </patternFill>
      </fill>
    </dxf>
    <dxf>
      <fill>
        <patternFill>
          <bgColor rgb="FFDCFCE7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F0FDF4"/>
          <bgColor rgb="FF000000"/>
        </patternFill>
      </fill>
    </dxf>
    <dxf>
      <fill>
        <patternFill patternType="solid">
          <fgColor rgb="FF14532D"/>
          <bgColor rgb="FF000000"/>
        </patternFill>
      </fill>
    </dxf>
    <dxf>
      <fill>
        <patternFill patternType="solid">
          <fgColor rgb="FF15803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15803D"/>
      <rgbColor rgb="FF000080"/>
      <rgbColor rgb="FF8A6400"/>
      <rgbColor rgb="FF6D28D9"/>
      <rgbColor rgb="FF075985"/>
      <rgbColor rgb="FFD9D9D9"/>
      <rgbColor rgb="FF878787"/>
      <rgbColor rgb="FFF5F3FF"/>
      <rgbColor rgb="FFC0504D"/>
      <rgbColor rgb="FFFFF7DB"/>
      <rgbColor rgb="FFDCFCE7"/>
      <rgbColor rgb="FF660066"/>
      <rgbColor rgb="FFFF8080"/>
      <rgbColor rgb="FF1D4ED8"/>
      <rgbColor rgb="FFCBD5E1"/>
      <rgbColor rgb="FF000080"/>
      <rgbColor rgb="FFFF00FF"/>
      <rgbColor rgb="FFF1F5F9"/>
      <rgbColor rgb="FF00FFFF"/>
      <rgbColor rgb="FF800080"/>
      <rgbColor rgb="FF800000"/>
      <rgbColor rgb="FF166534"/>
      <rgbColor rgb="FF0000FF"/>
      <rgbColor rgb="FF00CCFF"/>
      <rgbColor rgb="FFE0F2FE"/>
      <rgbColor rgb="FFF0FDF4"/>
      <rgbColor rgb="FFFEF3C7"/>
      <rgbColor rgb="FFE0EDFF"/>
      <rgbColor rgb="FFFFEEDC"/>
      <rgbColor rgb="FFEEF2FF"/>
      <rgbColor rgb="FFFFE4E6"/>
      <rgbColor rgb="FF3366FF"/>
      <rgbColor rgb="FF33CCCC"/>
      <rgbColor rgb="FF99CC00"/>
      <rgbColor rgb="FFFAF5FF"/>
      <rgbColor rgb="FFFF9900"/>
      <rgbColor rgb="FFB45309"/>
      <rgbColor rgb="FF4F81BD"/>
      <rgbColor rgb="FFF8FAFC"/>
      <rgbColor rgb="FF132A4A"/>
      <rgbColor rgb="FF339966"/>
      <rgbColor rgb="FF14532D"/>
      <rgbColor rgb="FF334155"/>
      <rgbColor rgb="FF92400E"/>
      <rgbColor rgb="FFBE123C"/>
      <rgbColor rgb="FF1E3A5F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عدد المشاريع لكل محرر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'إحصائيات المحررين'!B3</c:f>
              <c:strCache>
                <c:ptCount val="1"/>
                <c:pt idx="0">
                  <c:v>إجمالي المشاريع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'إحصائيات المحررين'!$A$4:$A$12</c:f>
              <c:strCache>
                <c:ptCount val="9"/>
                <c:pt idx="0">
                  <c:v>أحمد الزهراني</c:v>
                </c:pt>
                <c:pt idx="1">
                  <c:v>فاطمة العتيبي</c:v>
                </c:pt>
                <c:pt idx="2">
                  <c:v>خالد الشهري</c:v>
                </c:pt>
                <c:pt idx="3">
                  <c:v>نورة القحطاني</c:v>
                </c:pt>
                <c:pt idx="4">
                  <c:v>عبدالله الحربي</c:v>
                </c:pt>
                <c:pt idx="5">
                  <c:v>مريم الدوسري</c:v>
                </c:pt>
                <c:pt idx="6">
                  <c:v>سلطان المالكي</c:v>
                </c:pt>
                <c:pt idx="7">
                  <c:v>هند الغامدي</c:v>
                </c:pt>
                <c:pt idx="8">
                  <c:v>يوسف البقمي</c:v>
                </c:pt>
              </c:strCache>
            </c:strRef>
          </c:cat>
          <c:val>
            <c:numRef>
              <c:f>'إحصائيات المحررين'!$B$4:$B$12</c:f>
              <c:numCache>
                <c:formatCode>General</c:formatCode>
                <c:ptCount val="9"/>
                <c:pt idx="0">
                  <c:v>8</c:v>
                </c:pt>
                <c:pt idx="1">
                  <c:v>6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</c:ser>
        <c:ser>
          <c:idx val="1"/>
          <c:order val="1"/>
          <c:tx>
            <c:strRef>
              <c:f>'إحصائيات المحررين'!C3</c:f>
              <c:strCache>
                <c:ptCount val="1"/>
                <c:pt idx="0">
                  <c:v>معتمدة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'إحصائيات المحررين'!$A$4:$A$12</c:f>
              <c:strCache>
                <c:ptCount val="9"/>
                <c:pt idx="0">
                  <c:v>أحمد الزهراني</c:v>
                </c:pt>
                <c:pt idx="1">
                  <c:v>فاطمة العتيبي</c:v>
                </c:pt>
                <c:pt idx="2">
                  <c:v>خالد الشهري</c:v>
                </c:pt>
                <c:pt idx="3">
                  <c:v>نورة القحطاني</c:v>
                </c:pt>
                <c:pt idx="4">
                  <c:v>عبدالله الحربي</c:v>
                </c:pt>
                <c:pt idx="5">
                  <c:v>مريم الدوسري</c:v>
                </c:pt>
                <c:pt idx="6">
                  <c:v>سلطان المالكي</c:v>
                </c:pt>
                <c:pt idx="7">
                  <c:v>هند الغامدي</c:v>
                </c:pt>
                <c:pt idx="8">
                  <c:v>يوسف البقمي</c:v>
                </c:pt>
              </c:strCache>
            </c:strRef>
          </c:cat>
          <c:val>
            <c:numRef>
              <c:f>'إحصائيات المحررين'!$C$4:$C$12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</c:ser>
        <c:gapWidth val="150"/>
        <c:overlap val="0"/>
        <c:axId val="78538665"/>
        <c:axId val="62894843"/>
      </c:barChart>
      <c:catAx>
        <c:axId val="785386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94843"/>
        <c:crosses val="autoZero"/>
        <c:auto val="1"/>
        <c:lblAlgn val="ctr"/>
        <c:lblOffset val="100"/>
        <c:noMultiLvlLbl val="0"/>
      </c:catAx>
      <c:valAx>
        <c:axId val="628948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5386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-362520</xdr:colOff>
      <xdr:row>14</xdr:row>
      <xdr:rowOff>0</xdr:rowOff>
    </xdr:from>
    <xdr:to>
      <xdr:col>6</xdr:col>
      <xdr:colOff>0</xdr:colOff>
      <xdr:row>32</xdr:row>
      <xdr:rowOff>170640</xdr:rowOff>
    </xdr:to>
    <xdr:graphicFrame>
      <xdr:nvGraphicFramePr>
        <xdr:cNvPr id="0" name="Chart 1"/>
        <xdr:cNvGraphicFramePr/>
      </xdr:nvGraphicFramePr>
      <xdr:xfrm>
        <a:off x="-7199640" y="51246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24"/>
    <col collapsed="false" customWidth="true" hidden="false" outlineLevel="0" max="6" min="4" style="0" width="20"/>
  </cols>
  <sheetData>
    <row r="1" customFormat="false" ht="5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25.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</row>
    <row r="9" customFormat="false" ht="30" hidden="false" customHeight="true" outlineLevel="0" collapsed="false">
      <c r="A9" s="3" t="s">
        <v>4</v>
      </c>
      <c r="B9" s="3"/>
      <c r="C9" s="3"/>
      <c r="D9" s="3"/>
      <c r="E9" s="3"/>
      <c r="F9" s="3"/>
    </row>
    <row r="10" customFormat="false" ht="33.75" hidden="false" customHeight="true" outlineLevel="0" collapsed="false">
      <c r="A10" s="5" t="s">
        <v>5</v>
      </c>
      <c r="B10" s="6" t="s">
        <v>6</v>
      </c>
      <c r="C10" s="6"/>
      <c r="D10" s="6"/>
      <c r="E10" s="6"/>
      <c r="F10" s="6"/>
    </row>
    <row r="11" customFormat="false" ht="27.75" hidden="false" customHeight="true" outlineLevel="0" collapsed="false">
      <c r="A11" s="7" t="s">
        <v>7</v>
      </c>
      <c r="B11" s="8" t="s">
        <v>8</v>
      </c>
      <c r="C11" s="8"/>
      <c r="D11" s="8"/>
      <c r="E11" s="8"/>
      <c r="F11" s="8"/>
    </row>
    <row r="12" customFormat="false" ht="27.75" hidden="false" customHeight="true" outlineLevel="0" collapsed="false">
      <c r="A12" s="9" t="s">
        <v>9</v>
      </c>
      <c r="B12" s="10" t="s">
        <v>10</v>
      </c>
      <c r="C12" s="10"/>
      <c r="D12" s="10"/>
      <c r="E12" s="10"/>
      <c r="F12" s="10"/>
    </row>
    <row r="13" customFormat="false" ht="27.75" hidden="false" customHeight="true" outlineLevel="0" collapsed="false">
      <c r="A13" s="7" t="s">
        <v>11</v>
      </c>
      <c r="B13" s="8" t="s">
        <v>12</v>
      </c>
      <c r="C13" s="8"/>
      <c r="D13" s="8"/>
      <c r="E13" s="8"/>
      <c r="F13" s="8"/>
    </row>
    <row r="14" customFormat="false" ht="27.75" hidden="false" customHeight="true" outlineLevel="0" collapsed="false">
      <c r="A14" s="9" t="s">
        <v>13</v>
      </c>
      <c r="B14" s="10" t="s">
        <v>14</v>
      </c>
      <c r="C14" s="10"/>
      <c r="D14" s="10"/>
      <c r="E14" s="10"/>
      <c r="F14" s="10"/>
    </row>
    <row r="15" customFormat="false" ht="27.75" hidden="false" customHeight="true" outlineLevel="0" collapsed="false">
      <c r="A15" s="7" t="s">
        <v>15</v>
      </c>
      <c r="B15" s="8" t="s">
        <v>16</v>
      </c>
      <c r="C15" s="8"/>
      <c r="D15" s="8"/>
      <c r="E15" s="8"/>
      <c r="F15" s="8"/>
    </row>
    <row r="17" customFormat="false" ht="30" hidden="false" customHeight="true" outlineLevel="0" collapsed="false">
      <c r="A17" s="3" t="s">
        <v>17</v>
      </c>
      <c r="B17" s="3"/>
      <c r="C17" s="3"/>
      <c r="D17" s="3"/>
      <c r="E17" s="3"/>
      <c r="F17" s="3"/>
    </row>
    <row r="18" customFormat="false" ht="15" hidden="false" customHeight="true" outlineLevel="0" collapsed="false">
      <c r="A18" s="11" t="s">
        <v>18</v>
      </c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</row>
    <row r="21" customFormat="false" ht="30" hidden="false" customHeight="true" outlineLevel="0" collapsed="false">
      <c r="A21" s="3" t="s">
        <v>19</v>
      </c>
      <c r="B21" s="3"/>
      <c r="C21" s="3"/>
      <c r="D21" s="3"/>
      <c r="E21" s="3"/>
      <c r="F21" s="3"/>
    </row>
    <row r="22" customFormat="false" ht="24" hidden="false" customHeight="true" outlineLevel="0" collapsed="false">
      <c r="A22" s="12" t="s">
        <v>20</v>
      </c>
      <c r="B22" s="12"/>
      <c r="C22" s="12"/>
      <c r="D22" s="12"/>
      <c r="E22" s="12"/>
      <c r="F22" s="12"/>
    </row>
    <row r="23" customFormat="false" ht="24" hidden="false" customHeight="true" outlineLevel="0" collapsed="false">
      <c r="A23" s="12" t="s">
        <v>21</v>
      </c>
      <c r="B23" s="12"/>
      <c r="C23" s="12"/>
      <c r="D23" s="12"/>
      <c r="E23" s="12"/>
      <c r="F23" s="12"/>
    </row>
    <row r="24" customFormat="false" ht="24" hidden="false" customHeight="true" outlineLevel="0" collapsed="false">
      <c r="A24" s="12" t="s">
        <v>22</v>
      </c>
      <c r="B24" s="12"/>
      <c r="C24" s="12"/>
      <c r="D24" s="12"/>
      <c r="E24" s="12"/>
      <c r="F24" s="12"/>
    </row>
  </sheetData>
  <mergeCells count="17">
    <mergeCell ref="A1:F1"/>
    <mergeCell ref="A2:F2"/>
    <mergeCell ref="A4:F4"/>
    <mergeCell ref="A5:F7"/>
    <mergeCell ref="A9:F9"/>
    <mergeCell ref="B10:F10"/>
    <mergeCell ref="B11:F11"/>
    <mergeCell ref="B12:F12"/>
    <mergeCell ref="B13:F13"/>
    <mergeCell ref="B14:F14"/>
    <mergeCell ref="B15:F15"/>
    <mergeCell ref="A17:F17"/>
    <mergeCell ref="A18:F19"/>
    <mergeCell ref="A21:F21"/>
    <mergeCell ref="A22:F22"/>
    <mergeCell ref="A23:F23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6"/>
  </cols>
  <sheetData>
    <row r="1" customFormat="false" ht="51.75" hidden="false" customHeight="true" outlineLevel="0" collapsed="false">
      <c r="A1" s="13" t="s">
        <v>23</v>
      </c>
      <c r="B1" s="13"/>
      <c r="C1" s="13"/>
      <c r="D1" s="13"/>
      <c r="E1" s="13"/>
      <c r="F1" s="13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24</v>
      </c>
      <c r="B4" s="3"/>
      <c r="C4" s="3"/>
      <c r="D4" s="3" t="s">
        <v>25</v>
      </c>
      <c r="E4" s="3"/>
      <c r="F4" s="3"/>
    </row>
    <row r="5" customFormat="false" ht="31.5" hidden="false" customHeight="true" outlineLevel="0" collapsed="false">
      <c r="A5" s="14" t="s">
        <v>26</v>
      </c>
      <c r="B5" s="14"/>
      <c r="C5" s="15" t="n">
        <f aca="false">COUNTA(المهام!A4:A2000)</f>
        <v>44</v>
      </c>
      <c r="D5" s="14" t="s">
        <v>27</v>
      </c>
      <c r="E5" s="14"/>
      <c r="F5" s="15" t="n">
        <f aca="false">COUNTIF('إدارة المحررين'!D4:D200,"🟢 متاح")+COUNTIF('إدارة المحررين'!D4:D200,"🔴 مشغول")</f>
        <v>9</v>
      </c>
    </row>
    <row r="6" customFormat="false" ht="31.5" hidden="false" customHeight="true" outlineLevel="0" collapsed="false">
      <c r="A6" s="16" t="s">
        <v>28</v>
      </c>
      <c r="B6" s="16"/>
      <c r="C6" s="17" t="n">
        <f aca="false">COUNTA(المهام!A4:A2000)-COUNTIF(المهام!E4:E2000,"معتمد نهائياً")</f>
        <v>18</v>
      </c>
      <c r="D6" s="18" t="s">
        <v>29</v>
      </c>
      <c r="E6" s="18"/>
      <c r="F6" s="19" t="n">
        <f aca="false">COUNTIF('إدارة المحررين'!D4:D200,"🟢 متاح")</f>
        <v>6</v>
      </c>
    </row>
    <row r="7" customFormat="false" ht="31.5" hidden="false" customHeight="true" outlineLevel="0" collapsed="false">
      <c r="A7" s="20" t="s">
        <v>30</v>
      </c>
      <c r="B7" s="20"/>
      <c r="C7" s="21" t="n">
        <f aca="false">IFERROR(COUNTIF(المهام!E4:E2000,"معتمد نهائياً")/COUNTA(المهام!A4:A2000),0)</f>
        <v>0.590909090909091</v>
      </c>
      <c r="D7" s="22" t="s">
        <v>31</v>
      </c>
      <c r="E7" s="22"/>
      <c r="F7" s="23" t="n">
        <f aca="false">COUNTIF('إدارة المحررين'!D4:D200,"🔴 مشغول")</f>
        <v>3</v>
      </c>
    </row>
    <row r="8" customFormat="false" ht="31.5" hidden="false" customHeight="true" outlineLevel="0" collapsed="false">
      <c r="A8" s="24" t="s">
        <v>32</v>
      </c>
      <c r="B8" s="24"/>
      <c r="C8" s="25" t="n">
        <f aca="false">SUMPRODUCT((COUNTIF(المهام!B4:B2000,المهام!B4:B2000)&gt;0)/(COUNTIF(المهام!B4:B2000,المهام!B4:B2000)+(المهام!B4:B2000="")))</f>
        <v>32</v>
      </c>
      <c r="D8" s="16" t="s">
        <v>33</v>
      </c>
      <c r="E8" s="16"/>
      <c r="F8" s="17" t="n">
        <f aca="false">SUM('إدارة المحررين'!B4:B200)-SUM('إدارة المحررين'!C4:C200)</f>
        <v>12</v>
      </c>
    </row>
    <row r="10" customFormat="false" ht="30" hidden="false" customHeight="true" outlineLevel="0" collapsed="false">
      <c r="A10" s="3" t="s">
        <v>34</v>
      </c>
      <c r="B10" s="3"/>
      <c r="C10" s="3"/>
      <c r="D10" s="3"/>
      <c r="E10" s="3"/>
      <c r="F10" s="3"/>
    </row>
    <row r="11" customFormat="false" ht="33.75" hidden="false" customHeight="true" outlineLevel="0" collapsed="false">
      <c r="A11" s="5" t="s">
        <v>35</v>
      </c>
      <c r="B11" s="5" t="s">
        <v>36</v>
      </c>
      <c r="C11" s="6" t="s">
        <v>37</v>
      </c>
      <c r="D11" s="6"/>
      <c r="E11" s="6"/>
      <c r="F11" s="6"/>
    </row>
    <row r="12" customFormat="false" ht="27.75" hidden="false" customHeight="true" outlineLevel="0" collapsed="false">
      <c r="A12" s="26" t="s">
        <v>38</v>
      </c>
      <c r="B12" s="27" t="n">
        <f aca="false">COUNTIF(المهام!E4:E2000,"قيد التكليف")</f>
        <v>8</v>
      </c>
      <c r="C12" s="28" t="n">
        <f aca="false">IFERROR(COUNTIF(المهام!E4:E2000,"قيد التكليف")/COUNTA(المهام!A4:A2000),0)</f>
        <v>0.181818181818182</v>
      </c>
      <c r="D12" s="28"/>
      <c r="E12" s="28"/>
      <c r="F12" s="28"/>
    </row>
    <row r="13" customFormat="false" ht="27.75" hidden="false" customHeight="true" outlineLevel="0" collapsed="false">
      <c r="A13" s="29" t="s">
        <v>39</v>
      </c>
      <c r="B13" s="30" t="n">
        <f aca="false">COUNTIF(المهام!E4:E2000,"قيد التحرير")</f>
        <v>3</v>
      </c>
      <c r="C13" s="31" t="n">
        <f aca="false">IFERROR(COUNTIF(المهام!E4:E2000,"قيد التحرير")/COUNTA(المهام!A4:A2000),0)</f>
        <v>0.0681818181818182</v>
      </c>
      <c r="D13" s="31"/>
      <c r="E13" s="31"/>
      <c r="F13" s="31"/>
    </row>
    <row r="14" customFormat="false" ht="27.75" hidden="false" customHeight="true" outlineLevel="0" collapsed="false">
      <c r="A14" s="32" t="s">
        <v>40</v>
      </c>
      <c r="B14" s="33" t="n">
        <f aca="false">COUNTIF(المهام!E4:E2000,"بانتظار التقييم")</f>
        <v>3</v>
      </c>
      <c r="C14" s="34" t="n">
        <f aca="false">IFERROR(COUNTIF(المهام!E4:E2000,"بانتظار التقييم")/COUNTA(المهام!A4:A2000),0)</f>
        <v>0.0681818181818182</v>
      </c>
      <c r="D14" s="34"/>
      <c r="E14" s="34"/>
      <c r="F14" s="34"/>
    </row>
    <row r="15" customFormat="false" ht="27.75" hidden="false" customHeight="true" outlineLevel="0" collapsed="false">
      <c r="A15" s="35" t="s">
        <v>41</v>
      </c>
      <c r="B15" s="36" t="n">
        <f aca="false">COUNTIF(المهام!E4:E2000,"مطلوب تعديل")</f>
        <v>4</v>
      </c>
      <c r="C15" s="37" t="n">
        <f aca="false">IFERROR(COUNTIF(المهام!E4:E2000,"مطلوب تعديل")/COUNTA(المهام!A4:A2000),0)</f>
        <v>0.0909090909090909</v>
      </c>
      <c r="D15" s="37"/>
      <c r="E15" s="37"/>
      <c r="F15" s="37"/>
    </row>
    <row r="16" customFormat="false" ht="27.75" hidden="false" customHeight="true" outlineLevel="0" collapsed="false">
      <c r="A16" s="38" t="s">
        <v>42</v>
      </c>
      <c r="B16" s="39" t="n">
        <f aca="false">COUNTIF(المهام!E4:E2000,"معتمد نهائياً")</f>
        <v>26</v>
      </c>
      <c r="C16" s="40" t="n">
        <f aca="false">IFERROR(COUNTIF(المهام!E4:E2000,"معتمد نهائياً")/COUNTA(المهام!A4:A2000),0)</f>
        <v>0.590909090909091</v>
      </c>
      <c r="D16" s="40"/>
      <c r="E16" s="40"/>
      <c r="F16" s="40"/>
    </row>
  </sheetData>
  <mergeCells count="19">
    <mergeCell ref="A1:F1"/>
    <mergeCell ref="A2:F2"/>
    <mergeCell ref="A4:C4"/>
    <mergeCell ref="D4:F4"/>
    <mergeCell ref="A5:B5"/>
    <mergeCell ref="D5:E5"/>
    <mergeCell ref="A6:B6"/>
    <mergeCell ref="D6:E6"/>
    <mergeCell ref="A7:B7"/>
    <mergeCell ref="D7:E7"/>
    <mergeCell ref="A8:B8"/>
    <mergeCell ref="D8:E8"/>
    <mergeCell ref="A10:F10"/>
    <mergeCell ref="C11:F11"/>
    <mergeCell ref="C12:F12"/>
    <mergeCell ref="C13:F13"/>
    <mergeCell ref="C14:F14"/>
    <mergeCell ref="C15:F15"/>
    <mergeCell ref="C16:F16"/>
  </mergeCells>
  <conditionalFormatting sqref="C12:C16">
    <cfRule type="dataBar" priority="2">
      <dataBar showValue="1" minLength="10" maxLength="90">
        <cfvo type="num" val="0"/>
        <cfvo type="num" val="1"/>
        <color rgb="FF1E3A5F"/>
      </dataBar>
      <extLst>
        <ext xmlns:x14="http://schemas.microsoft.com/office/spreadsheetml/2009/9/main" uri="{B025F937-C7B1-47D3-B67F-A62EFF666E3E}">
          <x14:id>{91A7304B-71CE-47F2-92D6-44AB907C1F56}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A7304B-71CE-47F2-92D6-44AB907C1F5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E3A5F"/>
              <x14:axisColor rgb="FF000000"/>
            </x14:dataBar>
          </x14:cfRule>
          <xm:sqref>C12:C16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4" min="3" style="0" width="20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26"/>
  </cols>
  <sheetData>
    <row r="1" customFormat="false" ht="45.75" hidden="false" customHeight="true" outlineLevel="0" collapsed="false">
      <c r="A1" s="41" t="s">
        <v>43</v>
      </c>
      <c r="B1" s="41"/>
      <c r="C1" s="41"/>
      <c r="D1" s="41"/>
      <c r="E1" s="41"/>
      <c r="F1" s="41"/>
      <c r="G1" s="41"/>
      <c r="H1" s="4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3.75" hidden="false" customHeight="true" outlineLevel="0" collapsed="false">
      <c r="A3" s="5" t="s">
        <v>44</v>
      </c>
      <c r="B3" s="5" t="s">
        <v>45</v>
      </c>
      <c r="C3" s="5" t="s">
        <v>46</v>
      </c>
      <c r="D3" s="5" t="s">
        <v>47</v>
      </c>
      <c r="E3" s="5" t="s">
        <v>35</v>
      </c>
      <c r="F3" s="5" t="s">
        <v>48</v>
      </c>
      <c r="G3" s="5" t="s">
        <v>49</v>
      </c>
      <c r="H3" s="5" t="s">
        <v>50</v>
      </c>
    </row>
    <row r="4" customFormat="false" ht="25.5" hidden="false" customHeight="true" outlineLevel="0" collapsed="false">
      <c r="A4" s="42" t="s">
        <v>51</v>
      </c>
      <c r="B4" s="43" t="s">
        <v>52</v>
      </c>
      <c r="C4" s="42" t="s">
        <v>53</v>
      </c>
      <c r="D4" s="42"/>
      <c r="E4" s="44" t="s">
        <v>38</v>
      </c>
      <c r="F4" s="45" t="n">
        <v>46267</v>
      </c>
      <c r="G4" s="45"/>
      <c r="H4" s="42" t="s">
        <v>54</v>
      </c>
    </row>
    <row r="5" customFormat="false" ht="25.5" hidden="false" customHeight="true" outlineLevel="0" collapsed="false">
      <c r="A5" s="42" t="s">
        <v>51</v>
      </c>
      <c r="B5" s="43" t="s">
        <v>55</v>
      </c>
      <c r="C5" s="42" t="s">
        <v>53</v>
      </c>
      <c r="D5" s="42" t="s">
        <v>56</v>
      </c>
      <c r="E5" s="44" t="s">
        <v>41</v>
      </c>
      <c r="F5" s="45" t="n">
        <v>46287</v>
      </c>
      <c r="G5" s="45" t="n">
        <v>46293</v>
      </c>
      <c r="H5" s="42" t="s">
        <v>57</v>
      </c>
    </row>
    <row r="6" customFormat="false" ht="25.5" hidden="false" customHeight="true" outlineLevel="0" collapsed="false">
      <c r="A6" s="42" t="s">
        <v>51</v>
      </c>
      <c r="B6" s="43" t="s">
        <v>58</v>
      </c>
      <c r="C6" s="42" t="s">
        <v>59</v>
      </c>
      <c r="D6" s="42"/>
      <c r="E6" s="44" t="s">
        <v>39</v>
      </c>
      <c r="F6" s="45" t="n">
        <v>46269</v>
      </c>
      <c r="G6" s="45" t="n">
        <v>46275</v>
      </c>
      <c r="H6" s="42"/>
    </row>
    <row r="7" customFormat="false" ht="25.5" hidden="false" customHeight="true" outlineLevel="0" collapsed="false">
      <c r="A7" s="42" t="s">
        <v>60</v>
      </c>
      <c r="B7" s="43" t="s">
        <v>61</v>
      </c>
      <c r="C7" s="42" t="s">
        <v>62</v>
      </c>
      <c r="D7" s="42" t="s">
        <v>63</v>
      </c>
      <c r="E7" s="44" t="s">
        <v>40</v>
      </c>
      <c r="F7" s="45" t="n">
        <v>46273</v>
      </c>
      <c r="G7" s="45" t="n">
        <v>46276</v>
      </c>
      <c r="H7" s="42" t="s">
        <v>64</v>
      </c>
    </row>
    <row r="8" customFormat="false" ht="25.5" hidden="false" customHeight="true" outlineLevel="0" collapsed="false">
      <c r="A8" s="42" t="s">
        <v>65</v>
      </c>
      <c r="B8" s="43" t="s">
        <v>66</v>
      </c>
      <c r="C8" s="42" t="s">
        <v>67</v>
      </c>
      <c r="D8" s="42"/>
      <c r="E8" s="44" t="s">
        <v>38</v>
      </c>
      <c r="F8" s="45" t="n">
        <v>46280</v>
      </c>
      <c r="G8" s="45"/>
      <c r="H8" s="42"/>
    </row>
    <row r="9" customFormat="false" ht="25.5" hidden="false" customHeight="true" outlineLevel="0" collapsed="false">
      <c r="A9" s="42" t="s">
        <v>68</v>
      </c>
      <c r="B9" s="43" t="s">
        <v>69</v>
      </c>
      <c r="C9" s="42" t="s">
        <v>70</v>
      </c>
      <c r="D9" s="42"/>
      <c r="E9" s="44" t="s">
        <v>38</v>
      </c>
      <c r="F9" s="45" t="n">
        <v>46284</v>
      </c>
      <c r="G9" s="45"/>
      <c r="H9" s="42"/>
    </row>
    <row r="10" customFormat="false" ht="25.5" hidden="false" customHeight="true" outlineLevel="0" collapsed="false">
      <c r="A10" s="42" t="s">
        <v>68</v>
      </c>
      <c r="B10" s="43" t="s">
        <v>71</v>
      </c>
      <c r="C10" s="42" t="s">
        <v>70</v>
      </c>
      <c r="D10" s="42"/>
      <c r="E10" s="44" t="s">
        <v>39</v>
      </c>
      <c r="F10" s="45" t="n">
        <v>46275</v>
      </c>
      <c r="G10" s="45" t="n">
        <v>46282</v>
      </c>
      <c r="H10" s="42" t="s">
        <v>72</v>
      </c>
    </row>
    <row r="11" customFormat="false" ht="25.5" hidden="false" customHeight="true" outlineLevel="0" collapsed="false">
      <c r="A11" s="42" t="s">
        <v>73</v>
      </c>
      <c r="B11" s="43" t="s">
        <v>74</v>
      </c>
      <c r="C11" s="42" t="s">
        <v>53</v>
      </c>
      <c r="D11" s="42" t="s">
        <v>63</v>
      </c>
      <c r="E11" s="44" t="s">
        <v>41</v>
      </c>
      <c r="F11" s="45" t="n">
        <v>46284</v>
      </c>
      <c r="G11" s="45" t="n">
        <v>46292</v>
      </c>
      <c r="H11" s="42" t="s">
        <v>57</v>
      </c>
    </row>
    <row r="12" customFormat="false" ht="25.5" hidden="false" customHeight="true" outlineLevel="0" collapsed="false">
      <c r="A12" s="42" t="s">
        <v>73</v>
      </c>
      <c r="B12" s="43" t="s">
        <v>75</v>
      </c>
      <c r="C12" s="42" t="s">
        <v>76</v>
      </c>
      <c r="D12" s="42" t="s">
        <v>77</v>
      </c>
      <c r="E12" s="44" t="s">
        <v>41</v>
      </c>
      <c r="F12" s="45" t="n">
        <v>46278</v>
      </c>
      <c r="G12" s="45" t="n">
        <v>46286</v>
      </c>
      <c r="H12" s="42" t="s">
        <v>57</v>
      </c>
    </row>
    <row r="13" customFormat="false" ht="25.5" hidden="false" customHeight="true" outlineLevel="0" collapsed="false">
      <c r="A13" s="42" t="s">
        <v>78</v>
      </c>
      <c r="B13" s="43" t="s">
        <v>79</v>
      </c>
      <c r="C13" s="42" t="s">
        <v>67</v>
      </c>
      <c r="D13" s="42"/>
      <c r="E13" s="44" t="s">
        <v>38</v>
      </c>
      <c r="F13" s="45" t="n">
        <v>46281</v>
      </c>
      <c r="G13" s="45"/>
      <c r="H13" s="42"/>
    </row>
    <row r="14" customFormat="false" ht="25.5" hidden="false" customHeight="true" outlineLevel="0" collapsed="false">
      <c r="A14" s="42" t="s">
        <v>80</v>
      </c>
      <c r="B14" s="43" t="s">
        <v>81</v>
      </c>
      <c r="C14" s="42" t="s">
        <v>70</v>
      </c>
      <c r="D14" s="42" t="s">
        <v>82</v>
      </c>
      <c r="E14" s="44" t="s">
        <v>40</v>
      </c>
      <c r="F14" s="45" t="n">
        <v>46283</v>
      </c>
      <c r="G14" s="45" t="n">
        <v>46286</v>
      </c>
      <c r="H14" s="42"/>
    </row>
    <row r="15" customFormat="false" ht="25.5" hidden="false" customHeight="true" outlineLevel="0" collapsed="false">
      <c r="A15" s="42" t="s">
        <v>80</v>
      </c>
      <c r="B15" s="43" t="s">
        <v>83</v>
      </c>
      <c r="C15" s="42"/>
      <c r="D15" s="42"/>
      <c r="E15" s="44" t="s">
        <v>38</v>
      </c>
      <c r="F15" s="45" t="n">
        <v>46293</v>
      </c>
      <c r="G15" s="45"/>
      <c r="H15" s="42" t="s">
        <v>84</v>
      </c>
    </row>
    <row r="16" customFormat="false" ht="25.5" hidden="false" customHeight="true" outlineLevel="0" collapsed="false">
      <c r="A16" s="42" t="s">
        <v>85</v>
      </c>
      <c r="B16" s="43" t="s">
        <v>83</v>
      </c>
      <c r="C16" s="42" t="s">
        <v>62</v>
      </c>
      <c r="D16" s="42" t="s">
        <v>82</v>
      </c>
      <c r="E16" s="44" t="s">
        <v>41</v>
      </c>
      <c r="F16" s="45" t="n">
        <v>46276</v>
      </c>
      <c r="G16" s="45" t="n">
        <v>46284</v>
      </c>
      <c r="H16" s="42" t="s">
        <v>86</v>
      </c>
    </row>
    <row r="17" customFormat="false" ht="25.5" hidden="false" customHeight="true" outlineLevel="0" collapsed="false">
      <c r="A17" s="42" t="s">
        <v>85</v>
      </c>
      <c r="B17" s="43" t="s">
        <v>87</v>
      </c>
      <c r="C17" s="42" t="s">
        <v>88</v>
      </c>
      <c r="D17" s="42"/>
      <c r="E17" s="44" t="s">
        <v>38</v>
      </c>
      <c r="F17" s="45" t="n">
        <v>46272</v>
      </c>
      <c r="G17" s="45"/>
      <c r="H17" s="42" t="s">
        <v>72</v>
      </c>
    </row>
    <row r="18" customFormat="false" ht="25.5" hidden="false" customHeight="true" outlineLevel="0" collapsed="false">
      <c r="A18" s="42" t="s">
        <v>89</v>
      </c>
      <c r="B18" s="43" t="s">
        <v>90</v>
      </c>
      <c r="C18" s="42" t="s">
        <v>88</v>
      </c>
      <c r="D18" s="42"/>
      <c r="E18" s="44" t="s">
        <v>39</v>
      </c>
      <c r="F18" s="45" t="n">
        <v>46283</v>
      </c>
      <c r="G18" s="45" t="n">
        <v>46285</v>
      </c>
      <c r="H18" s="42" t="s">
        <v>91</v>
      </c>
    </row>
    <row r="19" customFormat="false" ht="25.5" hidden="false" customHeight="true" outlineLevel="0" collapsed="false">
      <c r="A19" s="42" t="s">
        <v>89</v>
      </c>
      <c r="B19" s="43" t="s">
        <v>92</v>
      </c>
      <c r="C19" s="42"/>
      <c r="D19" s="42"/>
      <c r="E19" s="44" t="s">
        <v>38</v>
      </c>
      <c r="F19" s="45" t="n">
        <v>46293</v>
      </c>
      <c r="G19" s="45"/>
      <c r="H19" s="42" t="s">
        <v>84</v>
      </c>
    </row>
    <row r="20" customFormat="false" ht="25.5" hidden="false" customHeight="true" outlineLevel="0" collapsed="false">
      <c r="A20" s="42" t="s">
        <v>93</v>
      </c>
      <c r="B20" s="43" t="s">
        <v>94</v>
      </c>
      <c r="C20" s="42" t="s">
        <v>88</v>
      </c>
      <c r="D20" s="42" t="s">
        <v>63</v>
      </c>
      <c r="E20" s="44" t="s">
        <v>40</v>
      </c>
      <c r="F20" s="45" t="n">
        <v>46285</v>
      </c>
      <c r="G20" s="45" t="n">
        <v>46291</v>
      </c>
      <c r="H20" s="42" t="s">
        <v>54</v>
      </c>
    </row>
    <row r="21" customFormat="false" ht="25.5" hidden="false" customHeight="true" outlineLevel="0" collapsed="false">
      <c r="A21" s="42" t="s">
        <v>93</v>
      </c>
      <c r="B21" s="43" t="s">
        <v>58</v>
      </c>
      <c r="C21" s="42"/>
      <c r="D21" s="42"/>
      <c r="E21" s="44" t="s">
        <v>38</v>
      </c>
      <c r="F21" s="45" t="n">
        <v>46293</v>
      </c>
      <c r="G21" s="45"/>
      <c r="H21" s="42" t="s">
        <v>84</v>
      </c>
    </row>
    <row r="22" customFormat="false" ht="25.5" hidden="false" customHeight="true" outlineLevel="0" collapsed="false">
      <c r="A22" s="42" t="s">
        <v>51</v>
      </c>
      <c r="B22" s="43" t="s">
        <v>95</v>
      </c>
      <c r="C22" s="42" t="s">
        <v>67</v>
      </c>
      <c r="D22" s="42" t="s">
        <v>56</v>
      </c>
      <c r="E22" s="44" t="s">
        <v>42</v>
      </c>
      <c r="F22" s="45" t="n">
        <v>46204</v>
      </c>
      <c r="G22" s="45" t="n">
        <v>46211</v>
      </c>
      <c r="H22" s="42"/>
    </row>
    <row r="23" customFormat="false" ht="25.5" hidden="false" customHeight="true" outlineLevel="0" collapsed="false">
      <c r="A23" s="42" t="s">
        <v>60</v>
      </c>
      <c r="B23" s="43" t="s">
        <v>96</v>
      </c>
      <c r="C23" s="42" t="s">
        <v>53</v>
      </c>
      <c r="D23" s="42" t="s">
        <v>63</v>
      </c>
      <c r="E23" s="44" t="s">
        <v>42</v>
      </c>
      <c r="F23" s="45" t="n">
        <v>46206</v>
      </c>
      <c r="G23" s="45" t="n">
        <v>46221</v>
      </c>
      <c r="H23" s="42"/>
    </row>
    <row r="24" customFormat="false" ht="25.5" hidden="false" customHeight="true" outlineLevel="0" collapsed="false">
      <c r="A24" s="42" t="s">
        <v>60</v>
      </c>
      <c r="B24" s="43" t="s">
        <v>79</v>
      </c>
      <c r="C24" s="42" t="s">
        <v>97</v>
      </c>
      <c r="D24" s="42" t="s">
        <v>77</v>
      </c>
      <c r="E24" s="44" t="s">
        <v>42</v>
      </c>
      <c r="F24" s="45" t="n">
        <v>46239</v>
      </c>
      <c r="G24" s="45" t="n">
        <v>46248</v>
      </c>
      <c r="H24" s="42"/>
    </row>
    <row r="25" customFormat="false" ht="25.5" hidden="false" customHeight="true" outlineLevel="0" collapsed="false">
      <c r="A25" s="42" t="s">
        <v>60</v>
      </c>
      <c r="B25" s="43" t="s">
        <v>66</v>
      </c>
      <c r="C25" s="42" t="s">
        <v>98</v>
      </c>
      <c r="D25" s="42" t="s">
        <v>63</v>
      </c>
      <c r="E25" s="44" t="s">
        <v>42</v>
      </c>
      <c r="F25" s="45" t="n">
        <v>46214</v>
      </c>
      <c r="G25" s="45" t="n">
        <v>46227</v>
      </c>
      <c r="H25" s="42"/>
    </row>
    <row r="26" customFormat="false" ht="25.5" hidden="false" customHeight="true" outlineLevel="0" collapsed="false">
      <c r="A26" s="42" t="s">
        <v>68</v>
      </c>
      <c r="B26" s="43" t="s">
        <v>99</v>
      </c>
      <c r="C26" s="42" t="s">
        <v>88</v>
      </c>
      <c r="D26" s="42" t="s">
        <v>77</v>
      </c>
      <c r="E26" s="44" t="s">
        <v>42</v>
      </c>
      <c r="F26" s="45" t="n">
        <v>46217</v>
      </c>
      <c r="G26" s="45" t="n">
        <v>46229</v>
      </c>
      <c r="H26" s="42"/>
    </row>
    <row r="27" customFormat="false" ht="25.5" hidden="false" customHeight="true" outlineLevel="0" collapsed="false">
      <c r="A27" s="42" t="s">
        <v>68</v>
      </c>
      <c r="B27" s="43" t="s">
        <v>100</v>
      </c>
      <c r="C27" s="42" t="s">
        <v>98</v>
      </c>
      <c r="D27" s="42" t="s">
        <v>82</v>
      </c>
      <c r="E27" s="44" t="s">
        <v>42</v>
      </c>
      <c r="F27" s="45" t="n">
        <v>46227</v>
      </c>
      <c r="G27" s="45" t="n">
        <v>46234</v>
      </c>
      <c r="H27" s="42"/>
    </row>
    <row r="28" customFormat="false" ht="25.5" hidden="false" customHeight="true" outlineLevel="0" collapsed="false">
      <c r="A28" s="42" t="s">
        <v>78</v>
      </c>
      <c r="B28" s="43" t="s">
        <v>96</v>
      </c>
      <c r="C28" s="42" t="s">
        <v>70</v>
      </c>
      <c r="D28" s="42" t="s">
        <v>63</v>
      </c>
      <c r="E28" s="44" t="s">
        <v>42</v>
      </c>
      <c r="F28" s="45" t="n">
        <v>46208</v>
      </c>
      <c r="G28" s="45" t="n">
        <v>46216</v>
      </c>
      <c r="H28" s="42"/>
    </row>
    <row r="29" customFormat="false" ht="25.5" hidden="false" customHeight="true" outlineLevel="0" collapsed="false">
      <c r="A29" s="42" t="s">
        <v>78</v>
      </c>
      <c r="B29" s="43" t="s">
        <v>101</v>
      </c>
      <c r="C29" s="42" t="s">
        <v>62</v>
      </c>
      <c r="D29" s="42" t="s">
        <v>82</v>
      </c>
      <c r="E29" s="44" t="s">
        <v>42</v>
      </c>
      <c r="F29" s="45" t="n">
        <v>46224</v>
      </c>
      <c r="G29" s="45" t="n">
        <v>46236</v>
      </c>
      <c r="H29" s="42"/>
    </row>
    <row r="30" customFormat="false" ht="25.5" hidden="false" customHeight="true" outlineLevel="0" collapsed="false">
      <c r="A30" s="42" t="s">
        <v>78</v>
      </c>
      <c r="B30" s="43" t="s">
        <v>102</v>
      </c>
      <c r="C30" s="42" t="s">
        <v>97</v>
      </c>
      <c r="D30" s="42" t="s">
        <v>56</v>
      </c>
      <c r="E30" s="44" t="s">
        <v>42</v>
      </c>
      <c r="F30" s="45" t="n">
        <v>46221</v>
      </c>
      <c r="G30" s="45" t="n">
        <v>46237</v>
      </c>
      <c r="H30" s="42"/>
    </row>
    <row r="31" customFormat="false" ht="25.5" hidden="false" customHeight="true" outlineLevel="0" collapsed="false">
      <c r="A31" s="42" t="s">
        <v>80</v>
      </c>
      <c r="B31" s="43" t="s">
        <v>103</v>
      </c>
      <c r="C31" s="42" t="s">
        <v>70</v>
      </c>
      <c r="D31" s="42" t="s">
        <v>63</v>
      </c>
      <c r="E31" s="44" t="s">
        <v>42</v>
      </c>
      <c r="F31" s="45" t="n">
        <v>46207</v>
      </c>
      <c r="G31" s="45" t="n">
        <v>46221</v>
      </c>
      <c r="H31" s="42"/>
    </row>
    <row r="32" customFormat="false" ht="25.5" hidden="false" customHeight="true" outlineLevel="0" collapsed="false">
      <c r="A32" s="42" t="s">
        <v>80</v>
      </c>
      <c r="B32" s="43" t="s">
        <v>55</v>
      </c>
      <c r="C32" s="42" t="s">
        <v>62</v>
      </c>
      <c r="D32" s="42" t="s">
        <v>63</v>
      </c>
      <c r="E32" s="44" t="s">
        <v>42</v>
      </c>
      <c r="F32" s="45" t="n">
        <v>46208</v>
      </c>
      <c r="G32" s="45" t="n">
        <v>46222</v>
      </c>
      <c r="H32" s="42"/>
    </row>
    <row r="33" customFormat="false" ht="25.5" hidden="false" customHeight="true" outlineLevel="0" collapsed="false">
      <c r="A33" s="42" t="s">
        <v>80</v>
      </c>
      <c r="B33" s="43" t="s">
        <v>90</v>
      </c>
      <c r="C33" s="42" t="s">
        <v>53</v>
      </c>
      <c r="D33" s="42" t="s">
        <v>104</v>
      </c>
      <c r="E33" s="44" t="s">
        <v>42</v>
      </c>
      <c r="F33" s="45" t="n">
        <v>46254</v>
      </c>
      <c r="G33" s="45" t="n">
        <v>46264</v>
      </c>
      <c r="H33" s="42"/>
    </row>
    <row r="34" customFormat="false" ht="25.5" hidden="false" customHeight="true" outlineLevel="0" collapsed="false">
      <c r="A34" s="42" t="s">
        <v>80</v>
      </c>
      <c r="B34" s="43" t="s">
        <v>61</v>
      </c>
      <c r="C34" s="42" t="s">
        <v>67</v>
      </c>
      <c r="D34" s="42" t="s">
        <v>104</v>
      </c>
      <c r="E34" s="44" t="s">
        <v>42</v>
      </c>
      <c r="F34" s="45" t="n">
        <v>46243</v>
      </c>
      <c r="G34" s="45" t="n">
        <v>46257</v>
      </c>
      <c r="H34" s="42"/>
    </row>
    <row r="35" customFormat="false" ht="25.5" hidden="false" customHeight="true" outlineLevel="0" collapsed="false">
      <c r="A35" s="42" t="s">
        <v>105</v>
      </c>
      <c r="B35" s="43" t="s">
        <v>106</v>
      </c>
      <c r="C35" s="42" t="s">
        <v>70</v>
      </c>
      <c r="D35" s="42" t="s">
        <v>82</v>
      </c>
      <c r="E35" s="44" t="s">
        <v>42</v>
      </c>
      <c r="F35" s="45" t="n">
        <v>46210</v>
      </c>
      <c r="G35" s="45" t="n">
        <v>46220</v>
      </c>
      <c r="H35" s="42"/>
    </row>
    <row r="36" customFormat="false" ht="25.5" hidden="false" customHeight="true" outlineLevel="0" collapsed="false">
      <c r="A36" s="42" t="s">
        <v>105</v>
      </c>
      <c r="B36" s="43" t="s">
        <v>81</v>
      </c>
      <c r="C36" s="42" t="s">
        <v>53</v>
      </c>
      <c r="D36" s="42" t="s">
        <v>77</v>
      </c>
      <c r="E36" s="44" t="s">
        <v>42</v>
      </c>
      <c r="F36" s="45" t="n">
        <v>46236</v>
      </c>
      <c r="G36" s="45" t="n">
        <v>46247</v>
      </c>
      <c r="H36" s="42"/>
    </row>
    <row r="37" customFormat="false" ht="25.5" hidden="false" customHeight="true" outlineLevel="0" collapsed="false">
      <c r="A37" s="42" t="s">
        <v>105</v>
      </c>
      <c r="B37" s="43" t="s">
        <v>107</v>
      </c>
      <c r="C37" s="42" t="s">
        <v>97</v>
      </c>
      <c r="D37" s="42" t="s">
        <v>77</v>
      </c>
      <c r="E37" s="44" t="s">
        <v>42</v>
      </c>
      <c r="F37" s="45" t="n">
        <v>46213</v>
      </c>
      <c r="G37" s="45" t="n">
        <v>46221</v>
      </c>
      <c r="H37" s="42"/>
    </row>
    <row r="38" customFormat="false" ht="25.5" hidden="false" customHeight="true" outlineLevel="0" collapsed="false">
      <c r="A38" s="42" t="s">
        <v>105</v>
      </c>
      <c r="B38" s="43" t="s">
        <v>108</v>
      </c>
      <c r="C38" s="42" t="s">
        <v>88</v>
      </c>
      <c r="D38" s="42" t="s">
        <v>63</v>
      </c>
      <c r="E38" s="44" t="s">
        <v>42</v>
      </c>
      <c r="F38" s="45" t="n">
        <v>46242</v>
      </c>
      <c r="G38" s="45" t="n">
        <v>46247</v>
      </c>
      <c r="H38" s="42"/>
    </row>
    <row r="39" customFormat="false" ht="25.5" hidden="false" customHeight="true" outlineLevel="0" collapsed="false">
      <c r="A39" s="42" t="s">
        <v>105</v>
      </c>
      <c r="B39" s="43" t="s">
        <v>109</v>
      </c>
      <c r="C39" s="42" t="s">
        <v>59</v>
      </c>
      <c r="D39" s="42" t="s">
        <v>56</v>
      </c>
      <c r="E39" s="44" t="s">
        <v>42</v>
      </c>
      <c r="F39" s="45" t="n">
        <v>46233</v>
      </c>
      <c r="G39" s="45" t="n">
        <v>46245</v>
      </c>
      <c r="H39" s="42"/>
    </row>
    <row r="40" customFormat="false" ht="25.5" hidden="false" customHeight="true" outlineLevel="0" collapsed="false">
      <c r="A40" s="42" t="s">
        <v>85</v>
      </c>
      <c r="B40" s="43" t="s">
        <v>69</v>
      </c>
      <c r="C40" s="42" t="s">
        <v>62</v>
      </c>
      <c r="D40" s="42" t="s">
        <v>63</v>
      </c>
      <c r="E40" s="44" t="s">
        <v>42</v>
      </c>
      <c r="F40" s="45" t="n">
        <v>46216</v>
      </c>
      <c r="G40" s="45" t="n">
        <v>46226</v>
      </c>
      <c r="H40" s="42"/>
    </row>
    <row r="41" customFormat="false" ht="25.5" hidden="false" customHeight="true" outlineLevel="0" collapsed="false">
      <c r="A41" s="42" t="s">
        <v>85</v>
      </c>
      <c r="B41" s="43" t="s">
        <v>110</v>
      </c>
      <c r="C41" s="42" t="s">
        <v>62</v>
      </c>
      <c r="D41" s="42" t="s">
        <v>82</v>
      </c>
      <c r="E41" s="44" t="s">
        <v>42</v>
      </c>
      <c r="F41" s="45" t="n">
        <v>46235</v>
      </c>
      <c r="G41" s="45" t="n">
        <v>46250</v>
      </c>
      <c r="H41" s="42"/>
    </row>
    <row r="42" customFormat="false" ht="25.5" hidden="false" customHeight="true" outlineLevel="0" collapsed="false">
      <c r="A42" s="42" t="s">
        <v>111</v>
      </c>
      <c r="B42" s="43" t="s">
        <v>112</v>
      </c>
      <c r="C42" s="42" t="s">
        <v>70</v>
      </c>
      <c r="D42" s="42" t="s">
        <v>63</v>
      </c>
      <c r="E42" s="44" t="s">
        <v>42</v>
      </c>
      <c r="F42" s="45" t="n">
        <v>46229</v>
      </c>
      <c r="G42" s="45" t="n">
        <v>46244</v>
      </c>
      <c r="H42" s="42"/>
    </row>
    <row r="43" customFormat="false" ht="25.5" hidden="false" customHeight="true" outlineLevel="0" collapsed="false">
      <c r="A43" s="42" t="s">
        <v>111</v>
      </c>
      <c r="B43" s="43" t="s">
        <v>113</v>
      </c>
      <c r="C43" s="42" t="s">
        <v>76</v>
      </c>
      <c r="D43" s="42" t="s">
        <v>56</v>
      </c>
      <c r="E43" s="44" t="s">
        <v>42</v>
      </c>
      <c r="F43" s="45" t="n">
        <v>46243</v>
      </c>
      <c r="G43" s="45" t="n">
        <v>46249</v>
      </c>
      <c r="H43" s="42"/>
    </row>
    <row r="44" customFormat="false" ht="25.5" hidden="false" customHeight="true" outlineLevel="0" collapsed="false">
      <c r="A44" s="42" t="s">
        <v>111</v>
      </c>
      <c r="B44" s="43" t="s">
        <v>114</v>
      </c>
      <c r="C44" s="42" t="s">
        <v>97</v>
      </c>
      <c r="D44" s="42" t="s">
        <v>77</v>
      </c>
      <c r="E44" s="44" t="s">
        <v>42</v>
      </c>
      <c r="F44" s="45" t="n">
        <v>46228</v>
      </c>
      <c r="G44" s="45" t="n">
        <v>46236</v>
      </c>
      <c r="H44" s="42"/>
    </row>
    <row r="45" customFormat="false" ht="25.5" hidden="false" customHeight="true" outlineLevel="0" collapsed="false">
      <c r="A45" s="42" t="s">
        <v>89</v>
      </c>
      <c r="B45" s="43" t="s">
        <v>115</v>
      </c>
      <c r="C45" s="42" t="s">
        <v>70</v>
      </c>
      <c r="D45" s="42" t="s">
        <v>63</v>
      </c>
      <c r="E45" s="44" t="s">
        <v>42</v>
      </c>
      <c r="F45" s="45" t="n">
        <v>46217</v>
      </c>
      <c r="G45" s="45" t="n">
        <v>46222</v>
      </c>
      <c r="H45" s="42"/>
    </row>
    <row r="46" customFormat="false" ht="25.5" hidden="false" customHeight="true" outlineLevel="0" collapsed="false">
      <c r="A46" s="42" t="s">
        <v>89</v>
      </c>
      <c r="B46" s="43" t="s">
        <v>110</v>
      </c>
      <c r="C46" s="42" t="s">
        <v>76</v>
      </c>
      <c r="D46" s="42" t="s">
        <v>77</v>
      </c>
      <c r="E46" s="44" t="s">
        <v>42</v>
      </c>
      <c r="F46" s="45" t="n">
        <v>46253</v>
      </c>
      <c r="G46" s="45" t="n">
        <v>46262</v>
      </c>
      <c r="H46" s="42"/>
    </row>
    <row r="47" customFormat="false" ht="25.5" hidden="false" customHeight="true" outlineLevel="0" collapsed="false">
      <c r="A47" s="42" t="s">
        <v>89</v>
      </c>
      <c r="B47" s="43" t="s">
        <v>109</v>
      </c>
      <c r="C47" s="42" t="s">
        <v>67</v>
      </c>
      <c r="D47" s="42" t="s">
        <v>77</v>
      </c>
      <c r="E47" s="44" t="s">
        <v>42</v>
      </c>
      <c r="F47" s="45" t="n">
        <v>46257</v>
      </c>
      <c r="G47" s="45" t="n">
        <v>46271</v>
      </c>
      <c r="H47" s="42"/>
    </row>
  </sheetData>
  <autoFilter ref="A3:H47"/>
  <mergeCells count="2">
    <mergeCell ref="A1:H1"/>
    <mergeCell ref="A2:H2"/>
  </mergeCells>
  <conditionalFormatting sqref="A4:H347">
    <cfRule type="expression" priority="2" aboveAverage="0" equalAverage="0" bottom="0" percent="0" rank="0" text="" dxfId="9">
      <formula>$E4="قيد التكليف"</formula>
    </cfRule>
    <cfRule type="expression" priority="3" aboveAverage="0" equalAverage="0" bottom="0" percent="0" rank="0" text="" dxfId="10">
      <formula>$E4="قيد التحرير"</formula>
    </cfRule>
    <cfRule type="expression" priority="4" aboveAverage="0" equalAverage="0" bottom="0" percent="0" rank="0" text="" dxfId="11">
      <formula>$E4="بانتظار التقييم"</formula>
    </cfRule>
    <cfRule type="expression" priority="5" aboveAverage="0" equalAverage="0" bottom="0" percent="0" rank="0" text="" dxfId="12">
      <formula>$E4="مطلوب تعديل"</formula>
    </cfRule>
    <cfRule type="expression" priority="6" aboveAverage="0" equalAverage="0" bottom="0" percent="0" rank="0" text="" dxfId="13">
      <formula>$E4="معتمد نهائياً"</formula>
    </cfRule>
  </conditionalFormatting>
  <dataValidations count="3">
    <dataValidation allowBlank="true" errorStyle="stop" operator="between" showDropDown="false" showErrorMessage="false" showInputMessage="false" sqref="B4:B1047" type="list">
      <formula1>_بيانات!$A$2:$A$52</formula1>
      <formula2>0</formula2>
    </dataValidation>
    <dataValidation allowBlank="false" error="اختر من القائمة" errorStyle="stop" errorTitle="حالة غير صحيحة" operator="between" showDropDown="false" showErrorMessage="true" showInputMessage="false" sqref="E4:E1047" type="list">
      <formula1>_بيانات!$B$2:$B$6</formula1>
      <formula2>0</formula2>
    </dataValidation>
    <dataValidation allowBlank="true" errorStyle="stop" operator="between" showDropDown="false" showErrorMessage="false" showInputMessage="false" sqref="D4:D1047" type="list">
      <formula1>_بيانات!$C$2:$C$6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6"/>
    <col collapsed="false" customWidth="true" hidden="false" outlineLevel="0" max="7" min="7" style="0" width="3"/>
    <col collapsed="false" customWidth="true" hidden="false" outlineLevel="0" max="8" min="8" style="0" width="20"/>
    <col collapsed="false" customWidth="true" hidden="false" outlineLevel="0" max="11" min="9" style="0" width="22"/>
  </cols>
  <sheetData>
    <row r="1" customFormat="false" ht="45.75" hidden="false" customHeight="true" outlineLevel="0" collapsed="false">
      <c r="A1" s="41" t="s">
        <v>116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5" t="s">
        <v>117</v>
      </c>
      <c r="B3" s="5" t="s">
        <v>118</v>
      </c>
      <c r="C3" s="5" t="s">
        <v>28</v>
      </c>
      <c r="D3" s="5" t="s">
        <v>35</v>
      </c>
      <c r="E3" s="5" t="s">
        <v>119</v>
      </c>
      <c r="H3" s="3" t="s">
        <v>120</v>
      </c>
      <c r="I3" s="3"/>
      <c r="J3" s="3"/>
      <c r="K3" s="3"/>
    </row>
    <row r="4" customFormat="false" ht="24" hidden="false" customHeight="true" outlineLevel="0" collapsed="false">
      <c r="A4" s="46" t="s">
        <v>70</v>
      </c>
      <c r="B4" s="47" t="n">
        <v>3</v>
      </c>
      <c r="C4" s="48" t="n">
        <f aca="false">COUNTIFS(المهام!C:C,A4,المهام!E:E,"&lt;&gt;معتمد نهائياً",المهام!E:E,"&lt;&gt;")</f>
        <v>3</v>
      </c>
      <c r="D4" s="49" t="str">
        <f aca="false">IF(C4&gt;=B4,"🔴 مشغول","🟢 متاح")</f>
        <v>🔴 مشغول</v>
      </c>
      <c r="E4" s="50" t="n">
        <f aca="false">MAX(0,B4-C4)</f>
        <v>0</v>
      </c>
      <c r="H4" s="51" t="s">
        <v>28</v>
      </c>
      <c r="I4" s="52" t="s">
        <v>121</v>
      </c>
      <c r="J4" s="52"/>
      <c r="K4" s="52"/>
    </row>
    <row r="5" customFormat="false" ht="24" hidden="false" customHeight="true" outlineLevel="0" collapsed="false">
      <c r="A5" s="46" t="s">
        <v>62</v>
      </c>
      <c r="B5" s="47" t="n">
        <v>3</v>
      </c>
      <c r="C5" s="48" t="n">
        <f aca="false">COUNTIFS(المهام!C:C,A5,المهام!E:E,"&lt;&gt;معتمد نهائياً",المهام!E:E,"&lt;&gt;")</f>
        <v>2</v>
      </c>
      <c r="D5" s="49" t="str">
        <f aca="false">IF(C5&gt;=B5,"🔴 مشغول","🟢 متاح")</f>
        <v>🟢 متاح</v>
      </c>
      <c r="E5" s="50" t="n">
        <f aca="false">MAX(0,B5-C5)</f>
        <v>1</v>
      </c>
      <c r="H5" s="51" t="s">
        <v>122</v>
      </c>
      <c r="I5" s="52" t="s">
        <v>123</v>
      </c>
      <c r="J5" s="52"/>
      <c r="K5" s="52"/>
    </row>
    <row r="6" customFormat="false" ht="33.75" hidden="false" customHeight="true" outlineLevel="0" collapsed="false">
      <c r="A6" s="46" t="s">
        <v>53</v>
      </c>
      <c r="B6" s="47" t="n">
        <v>3</v>
      </c>
      <c r="C6" s="48" t="n">
        <f aca="false">COUNTIFS(المهام!C:C,A6,المهام!E:E,"&lt;&gt;معتمد نهائياً",المهام!E:E,"&lt;&gt;")</f>
        <v>3</v>
      </c>
      <c r="D6" s="49" t="str">
        <f aca="false">IF(C6&gt;=B6,"🔴 مشغول","🟢 متاح")</f>
        <v>🔴 مشغول</v>
      </c>
      <c r="E6" s="50" t="n">
        <f aca="false">MAX(0,B6-C6)</f>
        <v>0</v>
      </c>
    </row>
    <row r="7" customFormat="false" ht="33.75" hidden="false" customHeight="true" outlineLevel="0" collapsed="false">
      <c r="A7" s="46" t="s">
        <v>76</v>
      </c>
      <c r="B7" s="47" t="n">
        <v>3</v>
      </c>
      <c r="C7" s="48" t="n">
        <f aca="false">COUNTIFS(المهام!C:C,A7,المهام!E:E,"&lt;&gt;معتمد نهائياً",المهام!E:E,"&lt;&gt;")</f>
        <v>1</v>
      </c>
      <c r="D7" s="49" t="str">
        <f aca="false">IF(C7&gt;=B7,"🔴 مشغول","🟢 متاح")</f>
        <v>🟢 متاح</v>
      </c>
      <c r="E7" s="50" t="n">
        <f aca="false">MAX(0,B7-C7)</f>
        <v>2</v>
      </c>
    </row>
    <row r="8" customFormat="false" ht="33.75" hidden="false" customHeight="true" outlineLevel="0" collapsed="false">
      <c r="A8" s="46" t="s">
        <v>97</v>
      </c>
      <c r="B8" s="47" t="n">
        <v>3</v>
      </c>
      <c r="C8" s="48" t="n">
        <f aca="false">COUNTIFS(المهام!C:C,A8,المهام!E:E,"&lt;&gt;معتمد نهائياً",المهام!E:E,"&lt;&gt;")</f>
        <v>0</v>
      </c>
      <c r="D8" s="49" t="str">
        <f aca="false">IF(C8&gt;=B8,"🔴 مشغول","🟢 متاح")</f>
        <v>🟢 متاح</v>
      </c>
      <c r="E8" s="50" t="n">
        <f aca="false">MAX(0,B8-C8)</f>
        <v>3</v>
      </c>
    </row>
    <row r="9" customFormat="false" ht="33.75" hidden="false" customHeight="true" outlineLevel="0" collapsed="false">
      <c r="A9" s="46" t="s">
        <v>67</v>
      </c>
      <c r="B9" s="47" t="n">
        <v>3</v>
      </c>
      <c r="C9" s="48" t="n">
        <f aca="false">COUNTIFS(المهام!C:C,A9,المهام!E:E,"&lt;&gt;معتمد نهائياً",المهام!E:E,"&lt;&gt;")</f>
        <v>2</v>
      </c>
      <c r="D9" s="49" t="str">
        <f aca="false">IF(C9&gt;=B9,"🔴 مشغول","🟢 متاح")</f>
        <v>🟢 متاح</v>
      </c>
      <c r="E9" s="50" t="n">
        <f aca="false">MAX(0,B9-C9)</f>
        <v>1</v>
      </c>
    </row>
    <row r="10" customFormat="false" ht="33.75" hidden="false" customHeight="true" outlineLevel="0" collapsed="false">
      <c r="A10" s="46" t="s">
        <v>88</v>
      </c>
      <c r="B10" s="47" t="n">
        <v>3</v>
      </c>
      <c r="C10" s="48" t="n">
        <f aca="false">COUNTIFS(المهام!C:C,A10,المهام!E:E,"&lt;&gt;معتمد نهائياً",المهام!E:E,"&lt;&gt;")</f>
        <v>3</v>
      </c>
      <c r="D10" s="49" t="str">
        <f aca="false">IF(C10&gt;=B10,"🔴 مشغول","🟢 متاح")</f>
        <v>🔴 مشغول</v>
      </c>
      <c r="E10" s="50" t="n">
        <f aca="false">MAX(0,B10-C10)</f>
        <v>0</v>
      </c>
    </row>
    <row r="11" customFormat="false" ht="33.75" hidden="false" customHeight="true" outlineLevel="0" collapsed="false">
      <c r="A11" s="46" t="s">
        <v>59</v>
      </c>
      <c r="B11" s="47" t="n">
        <v>3</v>
      </c>
      <c r="C11" s="48" t="n">
        <f aca="false">COUNTIFS(المهام!C:C,A11,المهام!E:E,"&lt;&gt;معتمد نهائياً",المهام!E:E,"&lt;&gt;")</f>
        <v>1</v>
      </c>
      <c r="D11" s="49" t="str">
        <f aca="false">IF(C11&gt;=B11,"🔴 مشغول","🟢 متاح")</f>
        <v>🟢 متاح</v>
      </c>
      <c r="E11" s="50" t="n">
        <f aca="false">MAX(0,B11-C11)</f>
        <v>2</v>
      </c>
    </row>
    <row r="12" customFormat="false" ht="33.75" hidden="false" customHeight="true" outlineLevel="0" collapsed="false">
      <c r="A12" s="46" t="s">
        <v>98</v>
      </c>
      <c r="B12" s="47" t="n">
        <v>3</v>
      </c>
      <c r="C12" s="48" t="n">
        <f aca="false">COUNTIFS(المهام!C:C,A12,المهام!E:E,"&lt;&gt;معتمد نهائياً",المهام!E:E,"&lt;&gt;")</f>
        <v>0</v>
      </c>
      <c r="D12" s="49" t="str">
        <f aca="false">IF(C12&gt;=B12,"🔴 مشغول","🟢 متاح")</f>
        <v>🟢 متاح</v>
      </c>
      <c r="E12" s="50" t="n">
        <f aca="false">MAX(0,B12-C12)</f>
        <v>3</v>
      </c>
    </row>
  </sheetData>
  <mergeCells count="5">
    <mergeCell ref="A1:K1"/>
    <mergeCell ref="A2:K2"/>
    <mergeCell ref="H3:K3"/>
    <mergeCell ref="I4:K4"/>
    <mergeCell ref="I5:K5"/>
  </mergeCells>
  <conditionalFormatting sqref="A4:E200">
    <cfRule type="expression" priority="2" aboveAverage="0" equalAverage="0" bottom="0" percent="0" rank="0" text="" dxfId="12">
      <formula>$D4="🔴 مشغول"</formula>
    </cfRule>
    <cfRule type="expression" priority="3" aboveAverage="0" equalAverage="0" bottom="0" percent="0" rank="0" text="" dxfId="13">
      <formula>$D4="🟢 متاح"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5"/>
  </cols>
  <sheetData>
    <row r="1" customFormat="false" ht="45.75" hidden="false" customHeight="true" outlineLevel="0" collapsed="false">
      <c r="A1" s="41" t="s">
        <v>124</v>
      </c>
      <c r="B1" s="41"/>
      <c r="C1" s="41"/>
      <c r="D1" s="41"/>
      <c r="E1" s="41"/>
      <c r="F1" s="41"/>
      <c r="G1" s="4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3.75" hidden="false" customHeight="true" outlineLevel="0" collapsed="false">
      <c r="A3" s="5" t="s">
        <v>117</v>
      </c>
      <c r="B3" s="5" t="s">
        <v>125</v>
      </c>
      <c r="C3" s="5" t="s">
        <v>126</v>
      </c>
      <c r="D3" s="5" t="s">
        <v>39</v>
      </c>
      <c r="E3" s="5" t="s">
        <v>40</v>
      </c>
      <c r="F3" s="5" t="s">
        <v>41</v>
      </c>
      <c r="G3" s="5" t="s">
        <v>30</v>
      </c>
    </row>
    <row r="4" customFormat="false" ht="30" hidden="false" customHeight="true" outlineLevel="0" collapsed="false">
      <c r="A4" s="53" t="str">
        <f aca="false">IFERROR(INDEX('إدارة المحررين'!A:A,ROW()),"")</f>
        <v>أحمد الزهراني</v>
      </c>
      <c r="B4" s="54" t="n">
        <f aca="false">COUNTIF(المهام!C:C,A4)</f>
        <v>8</v>
      </c>
      <c r="C4" s="55" t="n">
        <f aca="false">COUNTIFS(المهام!C:C,A4,المهام!E:E,"معتمد نهائياً")</f>
        <v>5</v>
      </c>
      <c r="D4" s="56" t="n">
        <f aca="false">COUNTIFS(المهام!C:C,A4,المهام!E:E,"قيد التحرير")</f>
        <v>1</v>
      </c>
      <c r="E4" s="57" t="n">
        <f aca="false">COUNTIFS(المهام!C:C,A4,المهام!E:E,"بانتظار التقييم")</f>
        <v>1</v>
      </c>
      <c r="F4" s="58" t="n">
        <f aca="false">COUNTIFS(المهام!C:C,A4,المهام!E:E,"مطلوب تعديل")</f>
        <v>0</v>
      </c>
      <c r="G4" s="59" t="n">
        <f aca="false">IFERROR(IF(B4=0,0,C4/B4),0)</f>
        <v>0.625</v>
      </c>
    </row>
    <row r="5" customFormat="false" ht="30" hidden="false" customHeight="true" outlineLevel="0" collapsed="false">
      <c r="A5" s="53" t="str">
        <f aca="false">IFERROR(INDEX('إدارة المحررين'!A:A,ROW()),"")</f>
        <v>فاطمة العتيبي</v>
      </c>
      <c r="B5" s="54" t="n">
        <f aca="false">COUNTIF(المهام!C:C,A5)</f>
        <v>6</v>
      </c>
      <c r="C5" s="55" t="n">
        <f aca="false">COUNTIFS(المهام!C:C,A5,المهام!E:E,"معتمد نهائياً")</f>
        <v>4</v>
      </c>
      <c r="D5" s="56" t="n">
        <f aca="false">COUNTIFS(المهام!C:C,A5,المهام!E:E,"قيد التحرير")</f>
        <v>0</v>
      </c>
      <c r="E5" s="57" t="n">
        <f aca="false">COUNTIFS(المهام!C:C,A5,المهام!E:E,"بانتظار التقييم")</f>
        <v>1</v>
      </c>
      <c r="F5" s="58" t="n">
        <f aca="false">COUNTIFS(المهام!C:C,A5,المهام!E:E,"مطلوب تعديل")</f>
        <v>1</v>
      </c>
      <c r="G5" s="59" t="n">
        <f aca="false">IFERROR(IF(B5=0,0,C5/B5),0)</f>
        <v>0.666666666666667</v>
      </c>
    </row>
    <row r="6" customFormat="false" ht="30" hidden="false" customHeight="true" outlineLevel="0" collapsed="false">
      <c r="A6" s="53" t="str">
        <f aca="false">IFERROR(INDEX('إدارة المحررين'!A:A,ROW()),"")</f>
        <v>خالد الشهري</v>
      </c>
      <c r="B6" s="54" t="n">
        <f aca="false">COUNTIF(المهام!C:C,A6)</f>
        <v>6</v>
      </c>
      <c r="C6" s="55" t="n">
        <f aca="false">COUNTIFS(المهام!C:C,A6,المهام!E:E,"معتمد نهائياً")</f>
        <v>3</v>
      </c>
      <c r="D6" s="56" t="n">
        <f aca="false">COUNTIFS(المهام!C:C,A6,المهام!E:E,"قيد التحرير")</f>
        <v>0</v>
      </c>
      <c r="E6" s="57" t="n">
        <f aca="false">COUNTIFS(المهام!C:C,A6,المهام!E:E,"بانتظار التقييم")</f>
        <v>0</v>
      </c>
      <c r="F6" s="58" t="n">
        <f aca="false">COUNTIFS(المهام!C:C,A6,المهام!E:E,"مطلوب تعديل")</f>
        <v>2</v>
      </c>
      <c r="G6" s="59" t="n">
        <f aca="false">IFERROR(IF(B6=0,0,C6/B6),0)</f>
        <v>0.5</v>
      </c>
    </row>
    <row r="7" customFormat="false" ht="30" hidden="false" customHeight="true" outlineLevel="0" collapsed="false">
      <c r="A7" s="53" t="str">
        <f aca="false">IFERROR(INDEX('إدارة المحررين'!A:A,ROW()),"")</f>
        <v>نورة القحطاني</v>
      </c>
      <c r="B7" s="54" t="n">
        <f aca="false">COUNTIF(المهام!C:C,A7)</f>
        <v>3</v>
      </c>
      <c r="C7" s="55" t="n">
        <f aca="false">COUNTIFS(المهام!C:C,A7,المهام!E:E,"معتمد نهائياً")</f>
        <v>2</v>
      </c>
      <c r="D7" s="56" t="n">
        <f aca="false">COUNTIFS(المهام!C:C,A7,المهام!E:E,"قيد التحرير")</f>
        <v>0</v>
      </c>
      <c r="E7" s="57" t="n">
        <f aca="false">COUNTIFS(المهام!C:C,A7,المهام!E:E,"بانتظار التقييم")</f>
        <v>0</v>
      </c>
      <c r="F7" s="58" t="n">
        <f aca="false">COUNTIFS(المهام!C:C,A7,المهام!E:E,"مطلوب تعديل")</f>
        <v>1</v>
      </c>
      <c r="G7" s="59" t="n">
        <f aca="false">IFERROR(IF(B7=0,0,C7/B7),0)</f>
        <v>0.666666666666667</v>
      </c>
    </row>
    <row r="8" customFormat="false" ht="30" hidden="false" customHeight="true" outlineLevel="0" collapsed="false">
      <c r="A8" s="53" t="str">
        <f aca="false">IFERROR(INDEX('إدارة المحررين'!A:A,ROW()),"")</f>
        <v>عبدالله الحربي</v>
      </c>
      <c r="B8" s="54" t="n">
        <f aca="false">COUNTIF(المهام!C:C,A8)</f>
        <v>4</v>
      </c>
      <c r="C8" s="55" t="n">
        <f aca="false">COUNTIFS(المهام!C:C,A8,المهام!E:E,"معتمد نهائياً")</f>
        <v>4</v>
      </c>
      <c r="D8" s="56" t="n">
        <f aca="false">COUNTIFS(المهام!C:C,A8,المهام!E:E,"قيد التحرير")</f>
        <v>0</v>
      </c>
      <c r="E8" s="57" t="n">
        <f aca="false">COUNTIFS(المهام!C:C,A8,المهام!E:E,"بانتظار التقييم")</f>
        <v>0</v>
      </c>
      <c r="F8" s="58" t="n">
        <f aca="false">COUNTIFS(المهام!C:C,A8,المهام!E:E,"مطلوب تعديل")</f>
        <v>0</v>
      </c>
      <c r="G8" s="59" t="n">
        <f aca="false">IFERROR(IF(B8=0,0,C8/B8),0)</f>
        <v>1</v>
      </c>
    </row>
    <row r="9" customFormat="false" ht="30" hidden="false" customHeight="true" outlineLevel="0" collapsed="false">
      <c r="A9" s="53" t="str">
        <f aca="false">IFERROR(INDEX('إدارة المحررين'!A:A,ROW()),"")</f>
        <v>مريم الدوسري</v>
      </c>
      <c r="B9" s="54" t="n">
        <f aca="false">COUNTIF(المهام!C:C,A9)</f>
        <v>5</v>
      </c>
      <c r="C9" s="55" t="n">
        <f aca="false">COUNTIFS(المهام!C:C,A9,المهام!E:E,"معتمد نهائياً")</f>
        <v>3</v>
      </c>
      <c r="D9" s="56" t="n">
        <f aca="false">COUNTIFS(المهام!C:C,A9,المهام!E:E,"قيد التحرير")</f>
        <v>0</v>
      </c>
      <c r="E9" s="57" t="n">
        <f aca="false">COUNTIFS(المهام!C:C,A9,المهام!E:E,"بانتظار التقييم")</f>
        <v>0</v>
      </c>
      <c r="F9" s="58" t="n">
        <f aca="false">COUNTIFS(المهام!C:C,A9,المهام!E:E,"مطلوب تعديل")</f>
        <v>0</v>
      </c>
      <c r="G9" s="59" t="n">
        <f aca="false">IFERROR(IF(B9=0,0,C9/B9),0)</f>
        <v>0.6</v>
      </c>
    </row>
    <row r="10" customFormat="false" ht="30" hidden="false" customHeight="true" outlineLevel="0" collapsed="false">
      <c r="A10" s="53" t="str">
        <f aca="false">IFERROR(INDEX('إدارة المحررين'!A:A,ROW()),"")</f>
        <v>سلطان المالكي</v>
      </c>
      <c r="B10" s="54" t="n">
        <f aca="false">COUNTIF(المهام!C:C,A10)</f>
        <v>5</v>
      </c>
      <c r="C10" s="55" t="n">
        <f aca="false">COUNTIFS(المهام!C:C,A10,المهام!E:E,"معتمد نهائياً")</f>
        <v>2</v>
      </c>
      <c r="D10" s="56" t="n">
        <f aca="false">COUNTIFS(المهام!C:C,A10,المهام!E:E,"قيد التحرير")</f>
        <v>1</v>
      </c>
      <c r="E10" s="57" t="n">
        <f aca="false">COUNTIFS(المهام!C:C,A10,المهام!E:E,"بانتظار التقييم")</f>
        <v>1</v>
      </c>
      <c r="F10" s="58" t="n">
        <f aca="false">COUNTIFS(المهام!C:C,A10,المهام!E:E,"مطلوب تعديل")</f>
        <v>0</v>
      </c>
      <c r="G10" s="59" t="n">
        <f aca="false">IFERROR(IF(B10=0,0,C10/B10),0)</f>
        <v>0.4</v>
      </c>
    </row>
    <row r="11" customFormat="false" ht="30" hidden="false" customHeight="true" outlineLevel="0" collapsed="false">
      <c r="A11" s="53" t="str">
        <f aca="false">IFERROR(INDEX('إدارة المحررين'!A:A,ROW()),"")</f>
        <v>هند الغامدي</v>
      </c>
      <c r="B11" s="54" t="n">
        <f aca="false">COUNTIF(المهام!C:C,A11)</f>
        <v>2</v>
      </c>
      <c r="C11" s="55" t="n">
        <f aca="false">COUNTIFS(المهام!C:C,A11,المهام!E:E,"معتمد نهائياً")</f>
        <v>1</v>
      </c>
      <c r="D11" s="56" t="n">
        <f aca="false">COUNTIFS(المهام!C:C,A11,المهام!E:E,"قيد التحرير")</f>
        <v>1</v>
      </c>
      <c r="E11" s="57" t="n">
        <f aca="false">COUNTIFS(المهام!C:C,A11,المهام!E:E,"بانتظار التقييم")</f>
        <v>0</v>
      </c>
      <c r="F11" s="58" t="n">
        <f aca="false">COUNTIFS(المهام!C:C,A11,المهام!E:E,"مطلوب تعديل")</f>
        <v>0</v>
      </c>
      <c r="G11" s="59" t="n">
        <f aca="false">IFERROR(IF(B11=0,0,C11/B11),0)</f>
        <v>0.5</v>
      </c>
    </row>
    <row r="12" customFormat="false" ht="30" hidden="false" customHeight="true" outlineLevel="0" collapsed="false">
      <c r="A12" s="53" t="str">
        <f aca="false">IFERROR(INDEX('إدارة المحررين'!A:A,ROW()),"")</f>
        <v>يوسف البقمي</v>
      </c>
      <c r="B12" s="54" t="n">
        <f aca="false">COUNTIF(المهام!C:C,A12)</f>
        <v>2</v>
      </c>
      <c r="C12" s="55" t="n">
        <f aca="false">COUNTIFS(المهام!C:C,A12,المهام!E:E,"معتمد نهائياً")</f>
        <v>2</v>
      </c>
      <c r="D12" s="56" t="n">
        <f aca="false">COUNTIFS(المهام!C:C,A12,المهام!E:E,"قيد التحرير")</f>
        <v>0</v>
      </c>
      <c r="E12" s="57" t="n">
        <f aca="false">COUNTIFS(المهام!C:C,A12,المهام!E:E,"بانتظار التقييم")</f>
        <v>0</v>
      </c>
      <c r="F12" s="58" t="n">
        <f aca="false">COUNTIFS(المهام!C:C,A12,المهام!E:E,"مطلوب تعديل")</f>
        <v>0</v>
      </c>
      <c r="G12" s="59" t="n">
        <f aca="false">IFERROR(IF(B12=0,0,C12/B12),0)</f>
        <v>1</v>
      </c>
    </row>
  </sheetData>
  <mergeCells count="2">
    <mergeCell ref="A1:G1"/>
    <mergeCell ref="A2:G2"/>
  </mergeCells>
  <conditionalFormatting sqref="G4:G12">
    <cfRule type="dataBar" priority="2">
      <dataBar showValue="1" minLength="10" maxLength="90">
        <cfvo type="num" val="0"/>
        <cfvo type="num" val="1"/>
        <color rgb="FF15803D"/>
      </dataBar>
      <extLst>
        <ext xmlns:x14="http://schemas.microsoft.com/office/spreadsheetml/2009/9/main" uri="{B025F937-C7B1-47D3-B67F-A62EFF666E3E}">
          <x14:id>{44FDD285-F8E8-40CE-B8E7-FB7999EC409B}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FDD285-F8E8-40CE-B8E7-FB7999EC409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5803D"/>
              <x14:axisColor rgb="FF000000"/>
            </x14:dataBar>
          </x14:cfRule>
          <xm:sqref>G4:G12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4" min="3" style="0" width="20"/>
    <col collapsed="false" customWidth="true" hidden="false" outlineLevel="0" max="6" min="5" style="0" width="16"/>
    <col collapsed="false" customWidth="true" hidden="false" outlineLevel="0" max="7" min="7" style="0" width="18"/>
  </cols>
  <sheetData>
    <row r="1" customFormat="false" ht="45.75" hidden="false" customHeight="true" outlineLevel="0" collapsed="false">
      <c r="A1" s="60" t="s">
        <v>127</v>
      </c>
      <c r="B1" s="60"/>
      <c r="C1" s="60"/>
      <c r="D1" s="60"/>
      <c r="E1" s="60"/>
      <c r="F1" s="60"/>
      <c r="G1" s="60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3.75" hidden="false" customHeight="true" outlineLevel="0" collapsed="false">
      <c r="A3" s="61" t="s">
        <v>44</v>
      </c>
      <c r="B3" s="61" t="s">
        <v>45</v>
      </c>
      <c r="C3" s="61" t="s">
        <v>46</v>
      </c>
      <c r="D3" s="61" t="s">
        <v>47</v>
      </c>
      <c r="E3" s="61" t="s">
        <v>48</v>
      </c>
      <c r="F3" s="61" t="s">
        <v>128</v>
      </c>
      <c r="G3" s="61" t="s">
        <v>129</v>
      </c>
    </row>
    <row r="4" customFormat="false" ht="25.5" hidden="false" customHeight="true" outlineLevel="0" collapsed="false">
      <c r="A4" s="62" t="s">
        <v>51</v>
      </c>
      <c r="B4" s="63" t="s">
        <v>95</v>
      </c>
      <c r="C4" s="62" t="s">
        <v>67</v>
      </c>
      <c r="D4" s="62" t="s">
        <v>56</v>
      </c>
      <c r="E4" s="64" t="n">
        <v>46204</v>
      </c>
      <c r="F4" s="64" t="n">
        <v>46211</v>
      </c>
      <c r="G4" s="65" t="n">
        <f aca="false">IFERROR(F4-E4,"")</f>
        <v>7</v>
      </c>
    </row>
    <row r="5" customFormat="false" ht="25.5" hidden="false" customHeight="true" outlineLevel="0" collapsed="false">
      <c r="A5" s="66" t="s">
        <v>78</v>
      </c>
      <c r="B5" s="67" t="s">
        <v>96</v>
      </c>
      <c r="C5" s="66" t="s">
        <v>70</v>
      </c>
      <c r="D5" s="66" t="s">
        <v>63</v>
      </c>
      <c r="E5" s="68" t="n">
        <v>46208</v>
      </c>
      <c r="F5" s="68" t="n">
        <v>46216</v>
      </c>
      <c r="G5" s="69" t="n">
        <f aca="false">IFERROR(F5-E5,"")</f>
        <v>8</v>
      </c>
    </row>
    <row r="6" customFormat="false" ht="25.5" hidden="false" customHeight="true" outlineLevel="0" collapsed="false">
      <c r="A6" s="62" t="s">
        <v>105</v>
      </c>
      <c r="B6" s="63" t="s">
        <v>106</v>
      </c>
      <c r="C6" s="62" t="s">
        <v>70</v>
      </c>
      <c r="D6" s="62" t="s">
        <v>82</v>
      </c>
      <c r="E6" s="64" t="n">
        <v>46210</v>
      </c>
      <c r="F6" s="64" t="n">
        <v>46220</v>
      </c>
      <c r="G6" s="65" t="n">
        <f aca="false">IFERROR(F6-E6,"")</f>
        <v>10</v>
      </c>
    </row>
    <row r="7" customFormat="false" ht="25.5" hidden="false" customHeight="true" outlineLevel="0" collapsed="false">
      <c r="A7" s="66" t="s">
        <v>60</v>
      </c>
      <c r="B7" s="67" t="s">
        <v>96</v>
      </c>
      <c r="C7" s="66" t="s">
        <v>53</v>
      </c>
      <c r="D7" s="66" t="s">
        <v>63</v>
      </c>
      <c r="E7" s="68" t="n">
        <v>46206</v>
      </c>
      <c r="F7" s="68" t="n">
        <v>46221</v>
      </c>
      <c r="G7" s="69" t="n">
        <f aca="false">IFERROR(F7-E7,"")</f>
        <v>15</v>
      </c>
    </row>
    <row r="8" customFormat="false" ht="25.5" hidden="false" customHeight="true" outlineLevel="0" collapsed="false">
      <c r="A8" s="62" t="s">
        <v>80</v>
      </c>
      <c r="B8" s="63" t="s">
        <v>103</v>
      </c>
      <c r="C8" s="62" t="s">
        <v>70</v>
      </c>
      <c r="D8" s="62" t="s">
        <v>63</v>
      </c>
      <c r="E8" s="64" t="n">
        <v>46207</v>
      </c>
      <c r="F8" s="64" t="n">
        <v>46221</v>
      </c>
      <c r="G8" s="65" t="n">
        <f aca="false">IFERROR(F8-E8,"")</f>
        <v>14</v>
      </c>
    </row>
    <row r="9" customFormat="false" ht="25.5" hidden="false" customHeight="true" outlineLevel="0" collapsed="false">
      <c r="A9" s="66" t="s">
        <v>105</v>
      </c>
      <c r="B9" s="67" t="s">
        <v>107</v>
      </c>
      <c r="C9" s="66" t="s">
        <v>97</v>
      </c>
      <c r="D9" s="66" t="s">
        <v>77</v>
      </c>
      <c r="E9" s="68" t="n">
        <v>46213</v>
      </c>
      <c r="F9" s="68" t="n">
        <v>46221</v>
      </c>
      <c r="G9" s="69" t="n">
        <f aca="false">IFERROR(F9-E9,"")</f>
        <v>8</v>
      </c>
    </row>
    <row r="10" customFormat="false" ht="25.5" hidden="false" customHeight="true" outlineLevel="0" collapsed="false">
      <c r="A10" s="62" t="s">
        <v>80</v>
      </c>
      <c r="B10" s="63" t="s">
        <v>55</v>
      </c>
      <c r="C10" s="62" t="s">
        <v>62</v>
      </c>
      <c r="D10" s="62" t="s">
        <v>63</v>
      </c>
      <c r="E10" s="64" t="n">
        <v>46208</v>
      </c>
      <c r="F10" s="64" t="n">
        <v>46222</v>
      </c>
      <c r="G10" s="65" t="n">
        <f aca="false">IFERROR(F10-E10,"")</f>
        <v>14</v>
      </c>
    </row>
    <row r="11" customFormat="false" ht="25.5" hidden="false" customHeight="true" outlineLevel="0" collapsed="false">
      <c r="A11" s="66" t="s">
        <v>89</v>
      </c>
      <c r="B11" s="67" t="s">
        <v>115</v>
      </c>
      <c r="C11" s="66" t="s">
        <v>70</v>
      </c>
      <c r="D11" s="66" t="s">
        <v>63</v>
      </c>
      <c r="E11" s="68" t="n">
        <v>46217</v>
      </c>
      <c r="F11" s="68" t="n">
        <v>46222</v>
      </c>
      <c r="G11" s="69" t="n">
        <f aca="false">IFERROR(F11-E11,"")</f>
        <v>5</v>
      </c>
    </row>
    <row r="12" customFormat="false" ht="25.5" hidden="false" customHeight="true" outlineLevel="0" collapsed="false">
      <c r="A12" s="62" t="s">
        <v>85</v>
      </c>
      <c r="B12" s="63" t="s">
        <v>69</v>
      </c>
      <c r="C12" s="62" t="s">
        <v>62</v>
      </c>
      <c r="D12" s="62" t="s">
        <v>63</v>
      </c>
      <c r="E12" s="64" t="n">
        <v>46216</v>
      </c>
      <c r="F12" s="64" t="n">
        <v>46226</v>
      </c>
      <c r="G12" s="65" t="n">
        <f aca="false">IFERROR(F12-E12,"")</f>
        <v>10</v>
      </c>
    </row>
    <row r="13" customFormat="false" ht="25.5" hidden="false" customHeight="true" outlineLevel="0" collapsed="false">
      <c r="A13" s="66" t="s">
        <v>60</v>
      </c>
      <c r="B13" s="67" t="s">
        <v>66</v>
      </c>
      <c r="C13" s="66" t="s">
        <v>98</v>
      </c>
      <c r="D13" s="66" t="s">
        <v>63</v>
      </c>
      <c r="E13" s="68" t="n">
        <v>46214</v>
      </c>
      <c r="F13" s="68" t="n">
        <v>46227</v>
      </c>
      <c r="G13" s="69" t="n">
        <f aca="false">IFERROR(F13-E13,"")</f>
        <v>13</v>
      </c>
    </row>
    <row r="14" customFormat="false" ht="25.5" hidden="false" customHeight="true" outlineLevel="0" collapsed="false">
      <c r="A14" s="62" t="s">
        <v>68</v>
      </c>
      <c r="B14" s="63" t="s">
        <v>99</v>
      </c>
      <c r="C14" s="62" t="s">
        <v>88</v>
      </c>
      <c r="D14" s="62" t="s">
        <v>77</v>
      </c>
      <c r="E14" s="64" t="n">
        <v>46217</v>
      </c>
      <c r="F14" s="64" t="n">
        <v>46229</v>
      </c>
      <c r="G14" s="65" t="n">
        <f aca="false">IFERROR(F14-E14,"")</f>
        <v>12</v>
      </c>
    </row>
    <row r="15" customFormat="false" ht="25.5" hidden="false" customHeight="true" outlineLevel="0" collapsed="false">
      <c r="A15" s="66" t="s">
        <v>68</v>
      </c>
      <c r="B15" s="67" t="s">
        <v>100</v>
      </c>
      <c r="C15" s="66" t="s">
        <v>98</v>
      </c>
      <c r="D15" s="66" t="s">
        <v>82</v>
      </c>
      <c r="E15" s="68" t="n">
        <v>46227</v>
      </c>
      <c r="F15" s="68" t="n">
        <v>46234</v>
      </c>
      <c r="G15" s="69" t="n">
        <f aca="false">IFERROR(F15-E15,"")</f>
        <v>7</v>
      </c>
    </row>
    <row r="16" customFormat="false" ht="25.5" hidden="false" customHeight="true" outlineLevel="0" collapsed="false">
      <c r="A16" s="62" t="s">
        <v>78</v>
      </c>
      <c r="B16" s="63" t="s">
        <v>101</v>
      </c>
      <c r="C16" s="62" t="s">
        <v>62</v>
      </c>
      <c r="D16" s="62" t="s">
        <v>82</v>
      </c>
      <c r="E16" s="64" t="n">
        <v>46224</v>
      </c>
      <c r="F16" s="64" t="n">
        <v>46236</v>
      </c>
      <c r="G16" s="65" t="n">
        <f aca="false">IFERROR(F16-E16,"")</f>
        <v>12</v>
      </c>
    </row>
    <row r="17" customFormat="false" ht="25.5" hidden="false" customHeight="true" outlineLevel="0" collapsed="false">
      <c r="A17" s="66" t="s">
        <v>111</v>
      </c>
      <c r="B17" s="67" t="s">
        <v>114</v>
      </c>
      <c r="C17" s="66" t="s">
        <v>97</v>
      </c>
      <c r="D17" s="66" t="s">
        <v>77</v>
      </c>
      <c r="E17" s="68" t="n">
        <v>46228</v>
      </c>
      <c r="F17" s="68" t="n">
        <v>46236</v>
      </c>
      <c r="G17" s="69" t="n">
        <f aca="false">IFERROR(F17-E17,"")</f>
        <v>8</v>
      </c>
    </row>
    <row r="18" customFormat="false" ht="25.5" hidden="false" customHeight="true" outlineLevel="0" collapsed="false">
      <c r="A18" s="62" t="s">
        <v>78</v>
      </c>
      <c r="B18" s="63" t="s">
        <v>102</v>
      </c>
      <c r="C18" s="62" t="s">
        <v>97</v>
      </c>
      <c r="D18" s="62" t="s">
        <v>56</v>
      </c>
      <c r="E18" s="64" t="n">
        <v>46221</v>
      </c>
      <c r="F18" s="64" t="n">
        <v>46237</v>
      </c>
      <c r="G18" s="65" t="n">
        <f aca="false">IFERROR(F18-E18,"")</f>
        <v>16</v>
      </c>
    </row>
    <row r="19" customFormat="false" ht="25.5" hidden="false" customHeight="true" outlineLevel="0" collapsed="false">
      <c r="A19" s="66" t="s">
        <v>111</v>
      </c>
      <c r="B19" s="67" t="s">
        <v>112</v>
      </c>
      <c r="C19" s="66" t="s">
        <v>70</v>
      </c>
      <c r="D19" s="66" t="s">
        <v>63</v>
      </c>
      <c r="E19" s="68" t="n">
        <v>46229</v>
      </c>
      <c r="F19" s="68" t="n">
        <v>46244</v>
      </c>
      <c r="G19" s="69" t="n">
        <f aca="false">IFERROR(F19-E19,"")</f>
        <v>15</v>
      </c>
    </row>
    <row r="20" customFormat="false" ht="25.5" hidden="false" customHeight="true" outlineLevel="0" collapsed="false">
      <c r="A20" s="62" t="s">
        <v>105</v>
      </c>
      <c r="B20" s="63" t="s">
        <v>109</v>
      </c>
      <c r="C20" s="62" t="s">
        <v>59</v>
      </c>
      <c r="D20" s="62" t="s">
        <v>56</v>
      </c>
      <c r="E20" s="64" t="n">
        <v>46233</v>
      </c>
      <c r="F20" s="64" t="n">
        <v>46245</v>
      </c>
      <c r="G20" s="65" t="n">
        <f aca="false">IFERROR(F20-E20,"")</f>
        <v>12</v>
      </c>
    </row>
    <row r="21" customFormat="false" ht="25.5" hidden="false" customHeight="true" outlineLevel="0" collapsed="false">
      <c r="A21" s="66" t="s">
        <v>105</v>
      </c>
      <c r="B21" s="67" t="s">
        <v>81</v>
      </c>
      <c r="C21" s="66" t="s">
        <v>53</v>
      </c>
      <c r="D21" s="66" t="s">
        <v>77</v>
      </c>
      <c r="E21" s="68" t="n">
        <v>46236</v>
      </c>
      <c r="F21" s="68" t="n">
        <v>46247</v>
      </c>
      <c r="G21" s="69" t="n">
        <f aca="false">IFERROR(F21-E21,"")</f>
        <v>11</v>
      </c>
    </row>
    <row r="22" customFormat="false" ht="25.5" hidden="false" customHeight="true" outlineLevel="0" collapsed="false">
      <c r="A22" s="62" t="s">
        <v>105</v>
      </c>
      <c r="B22" s="63" t="s">
        <v>108</v>
      </c>
      <c r="C22" s="62" t="s">
        <v>88</v>
      </c>
      <c r="D22" s="62" t="s">
        <v>63</v>
      </c>
      <c r="E22" s="64" t="n">
        <v>46242</v>
      </c>
      <c r="F22" s="64" t="n">
        <v>46247</v>
      </c>
      <c r="G22" s="65" t="n">
        <f aca="false">IFERROR(F22-E22,"")</f>
        <v>5</v>
      </c>
    </row>
    <row r="23" customFormat="false" ht="25.5" hidden="false" customHeight="true" outlineLevel="0" collapsed="false">
      <c r="A23" s="66" t="s">
        <v>60</v>
      </c>
      <c r="B23" s="67" t="s">
        <v>79</v>
      </c>
      <c r="C23" s="66" t="s">
        <v>97</v>
      </c>
      <c r="D23" s="66" t="s">
        <v>77</v>
      </c>
      <c r="E23" s="68" t="n">
        <v>46239</v>
      </c>
      <c r="F23" s="68" t="n">
        <v>46248</v>
      </c>
      <c r="G23" s="69" t="n">
        <f aca="false">IFERROR(F23-E23,"")</f>
        <v>9</v>
      </c>
    </row>
    <row r="24" customFormat="false" ht="25.5" hidden="false" customHeight="true" outlineLevel="0" collapsed="false">
      <c r="A24" s="62" t="s">
        <v>111</v>
      </c>
      <c r="B24" s="63" t="s">
        <v>113</v>
      </c>
      <c r="C24" s="62" t="s">
        <v>76</v>
      </c>
      <c r="D24" s="62" t="s">
        <v>56</v>
      </c>
      <c r="E24" s="64" t="n">
        <v>46243</v>
      </c>
      <c r="F24" s="64" t="n">
        <v>46249</v>
      </c>
      <c r="G24" s="65" t="n">
        <f aca="false">IFERROR(F24-E24,"")</f>
        <v>6</v>
      </c>
    </row>
    <row r="25" customFormat="false" ht="25.5" hidden="false" customHeight="true" outlineLevel="0" collapsed="false">
      <c r="A25" s="66" t="s">
        <v>85</v>
      </c>
      <c r="B25" s="67" t="s">
        <v>110</v>
      </c>
      <c r="C25" s="66" t="s">
        <v>62</v>
      </c>
      <c r="D25" s="66" t="s">
        <v>82</v>
      </c>
      <c r="E25" s="68" t="n">
        <v>46235</v>
      </c>
      <c r="F25" s="68" t="n">
        <v>46250</v>
      </c>
      <c r="G25" s="69" t="n">
        <f aca="false">IFERROR(F25-E25,"")</f>
        <v>15</v>
      </c>
    </row>
    <row r="26" customFormat="false" ht="25.5" hidden="false" customHeight="true" outlineLevel="0" collapsed="false">
      <c r="A26" s="62" t="s">
        <v>80</v>
      </c>
      <c r="B26" s="63" t="s">
        <v>61</v>
      </c>
      <c r="C26" s="62" t="s">
        <v>67</v>
      </c>
      <c r="D26" s="62" t="s">
        <v>104</v>
      </c>
      <c r="E26" s="64" t="n">
        <v>46243</v>
      </c>
      <c r="F26" s="64" t="n">
        <v>46257</v>
      </c>
      <c r="G26" s="65" t="n">
        <f aca="false">IFERROR(F26-E26,"")</f>
        <v>14</v>
      </c>
    </row>
    <row r="27" customFormat="false" ht="25.5" hidden="false" customHeight="true" outlineLevel="0" collapsed="false">
      <c r="A27" s="66" t="s">
        <v>89</v>
      </c>
      <c r="B27" s="67" t="s">
        <v>110</v>
      </c>
      <c r="C27" s="66" t="s">
        <v>76</v>
      </c>
      <c r="D27" s="66" t="s">
        <v>77</v>
      </c>
      <c r="E27" s="68" t="n">
        <v>46253</v>
      </c>
      <c r="F27" s="68" t="n">
        <v>46262</v>
      </c>
      <c r="G27" s="69" t="n">
        <f aca="false">IFERROR(F27-E27,"")</f>
        <v>9</v>
      </c>
    </row>
    <row r="28" customFormat="false" ht="25.5" hidden="false" customHeight="true" outlineLevel="0" collapsed="false">
      <c r="A28" s="62" t="s">
        <v>80</v>
      </c>
      <c r="B28" s="63" t="s">
        <v>90</v>
      </c>
      <c r="C28" s="62" t="s">
        <v>53</v>
      </c>
      <c r="D28" s="62" t="s">
        <v>104</v>
      </c>
      <c r="E28" s="64" t="n">
        <v>46254</v>
      </c>
      <c r="F28" s="64" t="n">
        <v>46264</v>
      </c>
      <c r="G28" s="65" t="n">
        <f aca="false">IFERROR(F28-E28,"")</f>
        <v>10</v>
      </c>
    </row>
    <row r="29" customFormat="false" ht="25.5" hidden="false" customHeight="true" outlineLevel="0" collapsed="false">
      <c r="A29" s="66" t="s">
        <v>89</v>
      </c>
      <c r="B29" s="67" t="s">
        <v>109</v>
      </c>
      <c r="C29" s="66" t="s">
        <v>67</v>
      </c>
      <c r="D29" s="66" t="s">
        <v>77</v>
      </c>
      <c r="E29" s="68" t="n">
        <v>46257</v>
      </c>
      <c r="F29" s="68" t="n">
        <v>46271</v>
      </c>
      <c r="G29" s="69" t="n">
        <f aca="false">IFERROR(F29-E29,"")</f>
        <v>14</v>
      </c>
    </row>
    <row r="31" customFormat="false" ht="30" hidden="false" customHeight="true" outlineLevel="0" collapsed="false">
      <c r="A31" s="18" t="s">
        <v>130</v>
      </c>
      <c r="B31" s="18"/>
      <c r="C31" s="18"/>
      <c r="D31" s="18"/>
      <c r="E31" s="18"/>
      <c r="F31" s="18"/>
      <c r="G31" s="70" t="n">
        <f aca="false">IFERROR(ROUND(AVERAGE(G4:G29),1),"")</f>
        <v>10.7</v>
      </c>
    </row>
  </sheetData>
  <autoFilter ref="A3:G29"/>
  <mergeCells count="3">
    <mergeCell ref="A1:G1"/>
    <mergeCell ref="A2:G2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1" t="s">
        <v>131</v>
      </c>
      <c r="B1" s="71" t="s">
        <v>132</v>
      </c>
      <c r="C1" s="71" t="s">
        <v>133</v>
      </c>
    </row>
    <row r="2" customFormat="false" ht="15" hidden="false" customHeight="false" outlineLevel="0" collapsed="false">
      <c r="A2" s="71" t="s">
        <v>134</v>
      </c>
      <c r="B2" s="71" t="s">
        <v>38</v>
      </c>
      <c r="C2" s="71" t="s">
        <v>135</v>
      </c>
    </row>
    <row r="3" customFormat="false" ht="15" hidden="false" customHeight="false" outlineLevel="0" collapsed="false">
      <c r="A3" s="71" t="s">
        <v>87</v>
      </c>
      <c r="B3" s="71" t="s">
        <v>39</v>
      </c>
      <c r="C3" s="71" t="s">
        <v>136</v>
      </c>
    </row>
    <row r="4" customFormat="false" ht="15" hidden="false" customHeight="false" outlineLevel="0" collapsed="false">
      <c r="A4" s="71" t="s">
        <v>71</v>
      </c>
      <c r="B4" s="71" t="s">
        <v>40</v>
      </c>
      <c r="C4" s="71" t="s">
        <v>137</v>
      </c>
    </row>
    <row r="5" customFormat="false" ht="15" hidden="false" customHeight="false" outlineLevel="0" collapsed="false">
      <c r="A5" s="71" t="s">
        <v>138</v>
      </c>
      <c r="B5" s="71" t="s">
        <v>41</v>
      </c>
      <c r="C5" s="71" t="s">
        <v>139</v>
      </c>
    </row>
    <row r="6" customFormat="false" ht="15" hidden="false" customHeight="false" outlineLevel="0" collapsed="false">
      <c r="A6" s="71" t="s">
        <v>99</v>
      </c>
      <c r="B6" s="71" t="s">
        <v>42</v>
      </c>
      <c r="C6" s="71" t="s">
        <v>140</v>
      </c>
    </row>
    <row r="7" customFormat="false" ht="15" hidden="false" customHeight="false" outlineLevel="0" collapsed="false">
      <c r="A7" s="71" t="s">
        <v>58</v>
      </c>
    </row>
    <row r="8" customFormat="false" ht="15" hidden="false" customHeight="false" outlineLevel="0" collapsed="false">
      <c r="A8" s="71" t="s">
        <v>141</v>
      </c>
    </row>
    <row r="9" customFormat="false" ht="15" hidden="false" customHeight="false" outlineLevel="0" collapsed="false">
      <c r="A9" s="71" t="s">
        <v>81</v>
      </c>
    </row>
    <row r="10" customFormat="false" ht="15" hidden="false" customHeight="false" outlineLevel="0" collapsed="false">
      <c r="A10" s="71" t="s">
        <v>142</v>
      </c>
    </row>
    <row r="11" customFormat="false" ht="15" hidden="false" customHeight="false" outlineLevel="0" collapsed="false">
      <c r="A11" s="71" t="s">
        <v>112</v>
      </c>
    </row>
    <row r="12" customFormat="false" ht="15" hidden="false" customHeight="false" outlineLevel="0" collapsed="false">
      <c r="A12" s="71" t="s">
        <v>113</v>
      </c>
    </row>
    <row r="13" customFormat="false" ht="15" hidden="false" customHeight="false" outlineLevel="0" collapsed="false">
      <c r="A13" s="71" t="s">
        <v>107</v>
      </c>
    </row>
    <row r="14" customFormat="false" ht="15" hidden="false" customHeight="false" outlineLevel="0" collapsed="false">
      <c r="A14" s="71" t="s">
        <v>143</v>
      </c>
    </row>
    <row r="15" customFormat="false" ht="15" hidden="false" customHeight="false" outlineLevel="0" collapsed="false">
      <c r="A15" s="71" t="s">
        <v>110</v>
      </c>
    </row>
    <row r="16" customFormat="false" ht="15" hidden="false" customHeight="false" outlineLevel="0" collapsed="false">
      <c r="A16" s="71" t="s">
        <v>144</v>
      </c>
    </row>
    <row r="17" customFormat="false" ht="15" hidden="false" customHeight="false" outlineLevel="0" collapsed="false">
      <c r="A17" s="71" t="s">
        <v>75</v>
      </c>
    </row>
    <row r="18" customFormat="false" ht="15" hidden="false" customHeight="false" outlineLevel="0" collapsed="false">
      <c r="A18" s="71" t="s">
        <v>94</v>
      </c>
    </row>
    <row r="19" customFormat="false" ht="15" hidden="false" customHeight="false" outlineLevel="0" collapsed="false">
      <c r="A19" s="71" t="s">
        <v>145</v>
      </c>
    </row>
    <row r="20" customFormat="false" ht="15" hidden="false" customHeight="false" outlineLevel="0" collapsed="false">
      <c r="A20" s="71" t="s">
        <v>95</v>
      </c>
    </row>
    <row r="21" customFormat="false" ht="15" hidden="false" customHeight="false" outlineLevel="0" collapsed="false">
      <c r="A21" s="71" t="s">
        <v>83</v>
      </c>
    </row>
    <row r="22" customFormat="false" ht="15" hidden="false" customHeight="false" outlineLevel="0" collapsed="false">
      <c r="A22" s="71" t="s">
        <v>146</v>
      </c>
    </row>
    <row r="23" customFormat="false" ht="15" hidden="false" customHeight="false" outlineLevel="0" collapsed="false">
      <c r="A23" s="71" t="s">
        <v>108</v>
      </c>
    </row>
    <row r="24" customFormat="false" ht="15" hidden="false" customHeight="false" outlineLevel="0" collapsed="false">
      <c r="A24" s="71" t="s">
        <v>74</v>
      </c>
    </row>
    <row r="25" customFormat="false" ht="15" hidden="false" customHeight="false" outlineLevel="0" collapsed="false">
      <c r="A25" s="71" t="s">
        <v>61</v>
      </c>
    </row>
    <row r="26" customFormat="false" ht="15" hidden="false" customHeight="false" outlineLevel="0" collapsed="false">
      <c r="A26" s="71" t="s">
        <v>147</v>
      </c>
    </row>
    <row r="27" customFormat="false" ht="15" hidden="false" customHeight="false" outlineLevel="0" collapsed="false">
      <c r="A27" s="71" t="s">
        <v>79</v>
      </c>
    </row>
    <row r="28" customFormat="false" ht="15" hidden="false" customHeight="false" outlineLevel="0" collapsed="false">
      <c r="A28" s="71" t="s">
        <v>96</v>
      </c>
    </row>
    <row r="29" customFormat="false" ht="15" hidden="false" customHeight="false" outlineLevel="0" collapsed="false">
      <c r="A29" s="71" t="s">
        <v>103</v>
      </c>
    </row>
    <row r="30" customFormat="false" ht="15" hidden="false" customHeight="false" outlineLevel="0" collapsed="false">
      <c r="A30" s="71" t="s">
        <v>148</v>
      </c>
    </row>
    <row r="31" customFormat="false" ht="15" hidden="false" customHeight="false" outlineLevel="0" collapsed="false">
      <c r="A31" s="71" t="s">
        <v>149</v>
      </c>
    </row>
    <row r="32" customFormat="false" ht="15" hidden="false" customHeight="false" outlineLevel="0" collapsed="false">
      <c r="A32" s="71" t="s">
        <v>52</v>
      </c>
    </row>
    <row r="33" customFormat="false" ht="15" hidden="false" customHeight="false" outlineLevel="0" collapsed="false">
      <c r="A33" s="71" t="s">
        <v>109</v>
      </c>
    </row>
    <row r="34" customFormat="false" ht="15" hidden="false" customHeight="false" outlineLevel="0" collapsed="false">
      <c r="A34" s="71" t="s">
        <v>115</v>
      </c>
    </row>
    <row r="35" customFormat="false" ht="15" hidden="false" customHeight="false" outlineLevel="0" collapsed="false">
      <c r="A35" s="71" t="s">
        <v>100</v>
      </c>
    </row>
    <row r="36" customFormat="false" ht="15" hidden="false" customHeight="false" outlineLevel="0" collapsed="false">
      <c r="A36" s="71" t="s">
        <v>106</v>
      </c>
    </row>
    <row r="37" customFormat="false" ht="15" hidden="false" customHeight="false" outlineLevel="0" collapsed="false">
      <c r="A37" s="71" t="s">
        <v>102</v>
      </c>
    </row>
    <row r="38" customFormat="false" ht="15" hidden="false" customHeight="false" outlineLevel="0" collapsed="false">
      <c r="A38" s="71" t="s">
        <v>90</v>
      </c>
    </row>
    <row r="39" customFormat="false" ht="15" hidden="false" customHeight="false" outlineLevel="0" collapsed="false">
      <c r="A39" s="71" t="s">
        <v>150</v>
      </c>
    </row>
    <row r="40" customFormat="false" ht="15" hidden="false" customHeight="false" outlineLevel="0" collapsed="false">
      <c r="A40" s="71" t="s">
        <v>151</v>
      </c>
    </row>
    <row r="41" customFormat="false" ht="15" hidden="false" customHeight="false" outlineLevel="0" collapsed="false">
      <c r="A41" s="71" t="s">
        <v>152</v>
      </c>
    </row>
    <row r="42" customFormat="false" ht="15" hidden="false" customHeight="false" outlineLevel="0" collapsed="false">
      <c r="A42" s="71" t="s">
        <v>69</v>
      </c>
    </row>
    <row r="43" customFormat="false" ht="15" hidden="false" customHeight="false" outlineLevel="0" collapsed="false">
      <c r="A43" s="71" t="s">
        <v>153</v>
      </c>
    </row>
    <row r="44" customFormat="false" ht="15" hidden="false" customHeight="false" outlineLevel="0" collapsed="false">
      <c r="A44" s="71" t="s">
        <v>154</v>
      </c>
    </row>
    <row r="45" customFormat="false" ht="15" hidden="false" customHeight="false" outlineLevel="0" collapsed="false">
      <c r="A45" s="71" t="s">
        <v>114</v>
      </c>
    </row>
    <row r="46" customFormat="false" ht="15" hidden="false" customHeight="false" outlineLevel="0" collapsed="false">
      <c r="A46" s="71" t="s">
        <v>66</v>
      </c>
    </row>
    <row r="47" customFormat="false" ht="15" hidden="false" customHeight="false" outlineLevel="0" collapsed="false">
      <c r="A47" s="71" t="s">
        <v>55</v>
      </c>
    </row>
    <row r="48" customFormat="false" ht="15" hidden="false" customHeight="false" outlineLevel="0" collapsed="false">
      <c r="A48" s="71" t="s">
        <v>155</v>
      </c>
    </row>
    <row r="49" customFormat="false" ht="15" hidden="false" customHeight="false" outlineLevel="0" collapsed="false">
      <c r="A49" s="71" t="s">
        <v>156</v>
      </c>
    </row>
    <row r="50" customFormat="false" ht="15" hidden="false" customHeight="false" outlineLevel="0" collapsed="false">
      <c r="A50" s="71" t="s">
        <v>92</v>
      </c>
    </row>
    <row r="51" customFormat="false" ht="15" hidden="false" customHeight="false" outlineLevel="0" collapsed="false">
      <c r="A51" s="71" t="s">
        <v>101</v>
      </c>
    </row>
    <row r="52" customFormat="false" ht="15" hidden="false" customHeight="false" outlineLevel="0" collapsed="false">
      <c r="A52" s="71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2026-10-01T19:48:46Z</dcterms:created>
  <dc:creator>openpyxl</dc:creator>
  <dc:description/>
  <dc:language>en-US</dc:language>
  <cp:lastModifiedBy/>
  <dcterms:modified xsi:type="dcterms:W3CDTF">2026-10-01T19:48:49Z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